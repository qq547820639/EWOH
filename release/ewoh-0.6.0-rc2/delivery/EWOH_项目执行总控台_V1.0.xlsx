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17e5be69146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" sheetId="1" r:id="R4d5ab8e7328444ad"/>
    <x:sheet xmlns:r="http://schemas.openxmlformats.org/officeDocument/2006/relationships" name="需求追踪" sheetId="2" r:id="Rb668f4587e4f472a"/>
    <x:sheet xmlns:r="http://schemas.openxmlformats.org/officeDocument/2006/relationships" name="门禁" sheetId="3" r:id="R15a736b9c7fa44ab"/>
    <x:sheet xmlns:r="http://schemas.openxmlformats.org/officeDocument/2006/relationships" name="RACI" sheetId="4" r:id="Rff1725072a2046b9"/>
    <x:sheet xmlns:r="http://schemas.openxmlformats.org/officeDocument/2006/relationships" name="接口清单" sheetId="5" r:id="R3922e0d48ded4460"/>
    <x:sheet xmlns:r="http://schemas.openxmlformats.org/officeDocument/2006/relationships" name="数据字典" sheetId="6" r:id="Rd9a5196cfca14c67"/>
    <x:sheet xmlns:r="http://schemas.openxmlformats.org/officeDocument/2006/relationships" name="测试用例" sheetId="7" r:id="Rdbb6b4d6676e4215"/>
    <x:sheet xmlns:r="http://schemas.openxmlformats.org/officeDocument/2006/relationships" name="风险台账" sheetId="8" r:id="R80ca042ac78744bd"/>
    <x:sheet xmlns:r="http://schemas.openxmlformats.org/officeDocument/2006/relationships" name="Demo Kit BOM" sheetId="9" r:id="Ra2e736e57e9e40ec"/>
    <x:sheet xmlns:r="http://schemas.openxmlformats.org/officeDocument/2006/relationships" name="总览" sheetId="10" r:id="R6e5e5d1d7a64479e"/>
    <x:sheet xmlns:r="http://schemas.openxmlformats.org/officeDocument/2006/relationships" name="周进度数据" sheetId="11" r:id="R63e9fe3b45ba40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¥#,##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24"/>
      <x:color rgb="FFA61E22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A61E22"/>
      </x:patternFill>
    </x:fill>
    <x:fill>
      <x:patternFill patternType="solid">
        <x:fgColor rgb="FF1F2937"/>
      </x:patternFill>
    </x:fill>
    <x:fill>
      <x:patternFill patternType="solid">
        <x:fgColor rgb="FFFAF4E8"/>
      </x:patternFill>
    </x:fill>
    <x:fill>
      <x:patternFill patternType="solid">
        <x:fgColor rgb="FFEEF2F6"/>
      </x:patternFill>
    </x:fill>
    <x:fill>
      <x:patternFill patternType="solid">
        <x:fgColor rgb="FFFFF7ED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15" xfId="0" applyNumberFormat="1" applyFont="1" applyFill="1" applyBorder="1" applyAlignment="1">
      <x:alignment vertical="center" wrapText="1"/>
    </x:xf>
    <x:xf numFmtId="202" fontId="0" fillId="0" borderId="18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1" xfId="0" applyNumberFormat="1" applyFont="1" applyFill="1" applyBorder="1"/>
    <x:xf numFmtId="0" fontId="4" fillId="0" borderId="1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1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4f509d9c1f467b" /><Relationship Type="http://schemas.openxmlformats.org/officeDocument/2006/relationships/theme" Target="/xl/theme/theme1.xml" Id="R973efad6bc3f4f24" /><Relationship Type="http://schemas.openxmlformats.org/officeDocument/2006/relationships/sharedStrings" Target="/xl/sharedStrings.xml" Id="R99a82f2cce694764" /><Relationship Type="http://schemas.openxmlformats.org/officeDocument/2006/relationships/worksheet" Target="/xl/worksheets/sheet1.xml" Id="R4d5ab8e7328444ad" /><Relationship Type="http://schemas.openxmlformats.org/officeDocument/2006/relationships/worksheet" Target="/xl/worksheets/sheet2.xml" Id="Rb668f4587e4f472a" /><Relationship Type="http://schemas.openxmlformats.org/officeDocument/2006/relationships/worksheet" Target="/xl/worksheets/sheet3.xml" Id="R15a736b9c7fa44ab" /><Relationship Type="http://schemas.openxmlformats.org/officeDocument/2006/relationships/worksheet" Target="/xl/worksheets/sheet4.xml" Id="Rff1725072a2046b9" /><Relationship Type="http://schemas.openxmlformats.org/officeDocument/2006/relationships/worksheet" Target="/xl/worksheets/sheet5.xml" Id="R3922e0d48ded4460" /><Relationship Type="http://schemas.openxmlformats.org/officeDocument/2006/relationships/worksheet" Target="/xl/worksheets/sheet6.xml" Id="Rd9a5196cfca14c67" /><Relationship Type="http://schemas.openxmlformats.org/officeDocument/2006/relationships/worksheet" Target="/xl/worksheets/sheet7.xml" Id="Rdbb6b4d6676e4215" /><Relationship Type="http://schemas.openxmlformats.org/officeDocument/2006/relationships/worksheet" Target="/xl/worksheets/sheet8.xml" Id="R80ca042ac78744bd" /><Relationship Type="http://schemas.openxmlformats.org/officeDocument/2006/relationships/worksheet" Target="/xl/worksheets/sheet9.xml" Id="Ra2e736e57e9e40ec" /><Relationship Type="http://schemas.openxmlformats.org/officeDocument/2006/relationships/worksheet" Target="/xl/worksheets/sheet10.xml" Id="R6e5e5d1d7a64479e" /><Relationship Type="http://schemas.openxmlformats.org/officeDocument/2006/relationships/worksheet" Target="/xl/worksheets/sheet11.xml" Id="R63e9fe3b45ba404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07ed0376ebf41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12周计划完成曲线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计划完成度</c:v>
          </c:tx>
          <c:cat>
            <c:strRef>
              <c:f>'周进度数据'!$A$2:$A$13</c:f>
              <c:strCache>
                <c:ptCount val="0"/>
              </c:strCache>
            </c:strRef>
          </c:cat>
          <c:val>
            <c:numRef>
              <c:f>'周进度数据'!$B$2:$B$13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07ed0376ebf41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BS_Table" displayName="WBS_Table" ref="A1:O17" headerRowCount="1">
  <x:tableColumns count="15">
    <x:tableColumn id="1" name="任务ID"/>
    <x:tableColumn id="2" name="周次"/>
    <x:tableColumn id="3" name="工作包"/>
    <x:tableColumn id="4" name="任务"/>
    <x:tableColumn id="5" name="负责人角色"/>
    <x:tableColumn id="6" name="优先级"/>
    <x:tableColumn id="7" name="前置依赖"/>
    <x:tableColumn id="8" name="开始日期"/>
    <x:tableColumn id="9" name="结束日期"/>
    <x:tableColumn id="10" name="状态"/>
    <x:tableColumn id="11" name="完成度"/>
    <x:tableColumn id="12" name="门禁"/>
    <x:tableColumn id="13" name="交付物"/>
    <x:tableColumn id="14" name="备注"/>
    <x:tableColumn id="15" name="完成度数值"/>
  </x:tableColumns>
  <x:tableStyleInfo name="TableStyleMedium2" showRowStripes="1"/>
</x:table>
</file>

<file path=xl/tables/table2.xml><?xml version="1.0" encoding="utf-8"?>
<x:table xmlns:x="http://schemas.openxmlformats.org/spreadsheetml/2006/main" id="2" name="Requirements_Table" displayName="Requirements_Table" ref="A1:L13" headerRowCount="1">
  <x:tableColumns count="12">
    <x:tableColumn id="1" name="需求ID"/>
    <x:tableColumn id="2" name="模块"/>
    <x:tableColumn id="3" name="优先级"/>
    <x:tableColumn id="4" name="需求描述"/>
    <x:tableColumn id="5" name="验收标准"/>
    <x:tableColumn id="6" name="实现状态"/>
    <x:tableColumn id="7" name="关联接口"/>
    <x:tableColumn id="8" name="测试用例"/>
    <x:tableColumn id="9" name="责任人"/>
    <x:tableColumn id="10" name="版本"/>
    <x:tableColumn id="11" name="备注"/>
    <x:tableColumn id="12" name="P0原型完成标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310a0d28234f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c6a897c477c4f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731a1fbfa3c1408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30" hidden="0" customWidth="1"/>
    <x:col min="5" max="5" width="15" hidden="0" customWidth="1"/>
    <x:col min="6" max="6" width="9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0" hidden="0" customWidth="1"/>
    <x:col min="12" max="12" width="9" hidden="0" customWidth="1"/>
    <x:col min="13" max="13" width="20" hidden="0" customWidth="1"/>
    <x:col min="14" max="14" width="18" hidden="0" customWidth="1"/>
    <x:col min="15" max="15" width="10" hidden="0" customWidth="1"/>
  </x:cols>
  <x:sheetData>
    <x:row r="1">
      <x:c r="A1" s="16" t="str">
        <x:v>任务ID</x:v>
      </x:c>
      <x:c r="B1" s="17" t="str">
        <x:v>周次</x:v>
      </x:c>
      <x:c r="C1" s="17" t="str">
        <x:v>工作包</x:v>
      </x:c>
      <x:c r="D1" s="17" t="str">
        <x:v>任务</x:v>
      </x:c>
      <x:c r="E1" s="17" t="str">
        <x:v>负责人角色</x:v>
      </x:c>
      <x:c r="F1" s="17" t="str">
        <x:v>优先级</x:v>
      </x:c>
      <x:c r="G1" s="17" t="str">
        <x:v>前置依赖</x:v>
      </x:c>
      <x:c r="H1" s="17" t="str">
        <x:v>开始日期</x:v>
      </x:c>
      <x:c r="I1" s="17" t="str">
        <x:v>结束日期</x:v>
      </x:c>
      <x:c r="J1" s="17" t="str">
        <x:v>状态</x:v>
      </x:c>
      <x:c r="K1" s="17" t="str">
        <x:v>完成度</x:v>
      </x:c>
      <x:c r="L1" s="17" t="str">
        <x:v>门禁</x:v>
      </x:c>
      <x:c r="M1" s="17" t="str">
        <x:v>交付物</x:v>
      </x:c>
      <x:c r="N1" s="17" t="str">
        <x:v>备注</x:v>
      </x:c>
      <x:c r="O1" s="18" t="str">
        <x:v>完成度数值</x:v>
      </x:c>
    </x:row>
    <x:row r="2">
      <x:c r="A2" s="19" t="str">
        <x:v>WBS-001</x:v>
      </x:c>
      <x:c r="B2" s="20" t="str">
        <x:v>W1</x:v>
      </x:c>
      <x:c r="C2" s="20" t="str">
        <x:v>项目启动</x:v>
      </x:c>
      <x:c r="D2" s="20" t="str">
        <x:v>批准项目章程、范围与安全红线</x:v>
      </x:c>
      <x:c r="E2" s="20" t="str">
        <x:v>决策人</x:v>
      </x:c>
      <x:c r="F2" s="20" t="str">
        <x:v>P0</x:v>
      </x:c>
      <x:c r="G2" s="20" t="str"/>
      <x:c r="H2" s="34" t="n">
        <x:v>46232</x:v>
      </x:c>
      <x:c r="I2" s="34" t="n">
        <x:v>46233</x:v>
      </x:c>
      <x:c r="J2" s="20" t="str">
        <x:v>未开始</x:v>
      </x:c>
      <x:c r="K2" s="38" t="n">
        <x:v>0</x:v>
      </x:c>
      <x:c r="L2" s="20" t="str">
        <x:v>G1</x:v>
      </x:c>
      <x:c r="M2" s="20" t="str">
        <x:v>项目章程</x:v>
      </x:c>
      <x:c r="N2" s="20" t="str"/>
      <x:c r="O2" s="21" t="n">
        <x:v>0</x:v>
      </x:c>
    </x:row>
    <x:row r="3">
      <x:c r="A3" s="19" t="str">
        <x:v>WBS-002</x:v>
      </x:c>
      <x:c r="B3" s="20" t="str">
        <x:v>W1</x:v>
      </x:c>
      <x:c r="C3" s="20" t="str">
        <x:v>环境</x:v>
      </x:c>
      <x:c r="D3" s="20" t="str">
        <x:v>建立代码仓库、构建与离线环境</x:v>
      </x:c>
      <x:c r="E3" s="20" t="str">
        <x:v>技术负责人</x:v>
      </x:c>
      <x:c r="F3" s="20" t="str">
        <x:v>P0</x:v>
      </x:c>
      <x:c r="G3" s="20" t="str">
        <x:v>WBS-001</x:v>
      </x:c>
      <x:c r="H3" s="34" t="n">
        <x:v>46232</x:v>
      </x:c>
      <x:c r="I3" s="34" t="n">
        <x:v>46235</x:v>
      </x:c>
      <x:c r="J3" s="20" t="str">
        <x:v>未开始</x:v>
      </x:c>
      <x:c r="K3" s="38" t="n">
        <x:v>0</x:v>
      </x:c>
      <x:c r="L3" s="20" t="str">
        <x:v>G1</x:v>
      </x:c>
      <x:c r="M3" s="20" t="str">
        <x:v>环境基线</x:v>
      </x:c>
      <x:c r="N3" s="20" t="str"/>
      <x:c r="O3" s="21" t="n">
        <x:v>0</x:v>
      </x:c>
    </x:row>
    <x:row r="4">
      <x:c r="A4" s="19" t="str">
        <x:v>WBS-003</x:v>
      </x:c>
      <x:c r="B4" s="20" t="str">
        <x:v>W2</x:v>
      </x:c>
      <x:c r="C4" s="20" t="str">
        <x:v>产品冻结</x:v>
      </x:c>
      <x:c r="D4" s="20" t="str">
        <x:v>冻结PRD、演示剧本与非目标</x:v>
      </x:c>
      <x:c r="E4" s="20" t="str">
        <x:v>产品负责人</x:v>
      </x:c>
      <x:c r="F4" s="20" t="str">
        <x:v>P0</x:v>
      </x:c>
      <x:c r="G4" s="20" t="str">
        <x:v>WBS-001</x:v>
      </x:c>
      <x:c r="H4" s="34" t="n">
        <x:v>46236</x:v>
      </x:c>
      <x:c r="I4" s="34" t="n">
        <x:v>46242</x:v>
      </x:c>
      <x:c r="J4" s="20" t="str">
        <x:v>未开始</x:v>
      </x:c>
      <x:c r="K4" s="38" t="n">
        <x:v>0</x:v>
      </x:c>
      <x:c r="L4" s="20" t="str">
        <x:v>G1</x:v>
      </x:c>
      <x:c r="M4" s="20" t="str">
        <x:v>产品基线</x:v>
      </x:c>
      <x:c r="N4" s="20" t="str"/>
      <x:c r="O4" s="21" t="n">
        <x:v>0</x:v>
      </x:c>
    </x:row>
    <x:row r="5">
      <x:c r="A5" s="19" t="str">
        <x:v>WBS-004</x:v>
      </x:c>
      <x:c r="B5" s="20" t="str">
        <x:v>W2</x:v>
      </x:c>
      <x:c r="C5" s="20" t="str">
        <x:v>技术冻结</x:v>
      </x:c>
      <x:c r="D5" s="20" t="str">
        <x:v>冻结架构、接口、数据字典与验收</x:v>
      </x:c>
      <x:c r="E5" s="20" t="str">
        <x:v>技术负责人</x:v>
      </x:c>
      <x:c r="F5" s="20" t="str">
        <x:v>P0</x:v>
      </x:c>
      <x:c r="G5" s="20" t="str">
        <x:v>WBS-002</x:v>
      </x:c>
      <x:c r="H5" s="34" t="n">
        <x:v>46236</x:v>
      </x:c>
      <x:c r="I5" s="34" t="n">
        <x:v>46242</x:v>
      </x:c>
      <x:c r="J5" s="20" t="str">
        <x:v>未开始</x:v>
      </x:c>
      <x:c r="K5" s="38" t="n">
        <x:v>0</x:v>
      </x:c>
      <x:c r="L5" s="20" t="str">
        <x:v>G1</x:v>
      </x:c>
      <x:c r="M5" s="20" t="str">
        <x:v>技术基线</x:v>
      </x:c>
      <x:c r="N5" s="20" t="str"/>
      <x:c r="O5" s="21" t="n">
        <x:v>0</x:v>
      </x:c>
    </x:row>
    <x:row r="6">
      <x:c r="A6" s="19" t="str">
        <x:v>WBS-005</x:v>
      </x:c>
      <x:c r="B6" s="20" t="str">
        <x:v>W3</x:v>
      </x:c>
      <x:c r="C6" s="20" t="str">
        <x:v>设备链路</x:v>
      </x:c>
      <x:c r="D6" s="20" t="str">
        <x:v>接入真实外骨骼协议或完成协议桩</x:v>
      </x:c>
      <x:c r="E6" s="20" t="str">
        <x:v>设备工程师</x:v>
      </x:c>
      <x:c r="F6" s="20" t="str">
        <x:v>P0</x:v>
      </x:c>
      <x:c r="G6" s="20" t="str">
        <x:v>WBS-004</x:v>
      </x:c>
      <x:c r="H6" s="34" t="n">
        <x:v>46243</x:v>
      </x:c>
      <x:c r="I6" s="34" t="n">
        <x:v>46249</x:v>
      </x:c>
      <x:c r="J6" s="20" t="str">
        <x:v>阻塞</x:v>
      </x:c>
      <x:c r="K6" s="38" t="n">
        <x:v>0</x:v>
      </x:c>
      <x:c r="L6" s="20" t="str">
        <x:v>G2</x:v>
      </x:c>
      <x:c r="M6" s="20" t="str">
        <x:v>设备适配器</x:v>
      </x:c>
      <x:c r="N6" s="20" t="str">
        <x:v>需真实协议</x:v>
      </x:c>
      <x:c r="O6" s="21" t="n">
        <x:v>0</x:v>
      </x:c>
    </x:row>
    <x:row r="7">
      <x:c r="A7" s="19" t="str">
        <x:v>WBS-006</x:v>
      </x:c>
      <x:c r="B7" s="20" t="str">
        <x:v>W3</x:v>
      </x:c>
      <x:c r="C7" s="20" t="str">
        <x:v>网关</x:v>
      </x:c>
      <x:c r="D7" s="20" t="str">
        <x:v>时间同步、缓存补传、断线重连</x:v>
      </x:c>
      <x:c r="E7" s="20" t="str">
        <x:v>后端/边缘</x:v>
      </x:c>
      <x:c r="F7" s="20" t="str">
        <x:v>P0</x:v>
      </x:c>
      <x:c r="G7" s="20" t="str">
        <x:v>WBS-004</x:v>
      </x:c>
      <x:c r="H7" s="34" t="n">
        <x:v>46243</x:v>
      </x:c>
      <x:c r="I7" s="34" t="n">
        <x:v>46249</x:v>
      </x:c>
      <x:c r="J7" s="20" t="str">
        <x:v>未开始</x:v>
      </x:c>
      <x:c r="K7" s="38" t="n">
        <x:v>0</x:v>
      </x:c>
      <x:c r="L7" s="20" t="str">
        <x:v>G2</x:v>
      </x:c>
      <x:c r="M7" s="20" t="str">
        <x:v>边缘网关</x:v>
      </x:c>
      <x:c r="N7" s="20" t="str"/>
      <x:c r="O7" s="21" t="n">
        <x:v>0</x:v>
      </x:c>
    </x:row>
    <x:row r="8">
      <x:c r="A8" s="19" t="str">
        <x:v>WBS-007</x:v>
      </x:c>
      <x:c r="B8" s="20" t="str">
        <x:v>W4</x:v>
      </x:c>
      <x:c r="C8" s="20" t="str">
        <x:v>数据采集</x:v>
      </x:c>
      <x:c r="D8" s="20" t="str">
        <x:v>按标准动作集采集与标注受控数据</x:v>
      </x:c>
      <x:c r="E8" s="20" t="str">
        <x:v>算法/测试</x:v>
      </x:c>
      <x:c r="F8" s="20" t="str">
        <x:v>P0</x:v>
      </x:c>
      <x:c r="G8" s="20" t="str">
        <x:v>WBS-005</x:v>
      </x:c>
      <x:c r="H8" s="34" t="n">
        <x:v>46250</x:v>
      </x:c>
      <x:c r="I8" s="34" t="n">
        <x:v>46256</x:v>
      </x:c>
      <x:c r="J8" s="20" t="str">
        <x:v>阻塞</x:v>
      </x:c>
      <x:c r="K8" s="38" t="n">
        <x:v>0</x:v>
      </x:c>
      <x:c r="L8" s="20" t="str">
        <x:v>G3</x:v>
      </x:c>
      <x:c r="M8" s="20" t="str">
        <x:v>数据集v0.1</x:v>
      </x:c>
      <x:c r="N8" s="20" t="str">
        <x:v>需真机与授权</x:v>
      </x:c>
      <x:c r="O8" s="21" t="n">
        <x:v>0</x:v>
      </x:c>
    </x:row>
    <x:row r="9">
      <x:c r="A9" s="19" t="str">
        <x:v>WBS-008</x:v>
      </x:c>
      <x:c r="B9" s="20" t="str">
        <x:v>W4</x:v>
      </x:c>
      <x:c r="C9" s="20" t="str">
        <x:v>规则基线</x:v>
      </x:c>
      <x:c r="D9" s="20" t="str">
        <x:v>实现动作与风险规则v0</x:v>
      </x:c>
      <x:c r="E9" s="20" t="str">
        <x:v>算法</x:v>
      </x:c>
      <x:c r="F9" s="20" t="str">
        <x:v>P0</x:v>
      </x:c>
      <x:c r="G9" s="20" t="str">
        <x:v>WBS-006</x:v>
      </x:c>
      <x:c r="H9" s="34" t="n">
        <x:v>46250</x:v>
      </x:c>
      <x:c r="I9" s="34" t="n">
        <x:v>46256</x:v>
      </x:c>
      <x:c r="J9" s="20" t="str">
        <x:v>未开始</x:v>
      </x:c>
      <x:c r="K9" s="38" t="n">
        <x:v>0</x:v>
      </x:c>
      <x:c r="L9" s="20" t="str">
        <x:v>G3</x:v>
      </x:c>
      <x:c r="M9" s="20" t="str">
        <x:v>规则包v0</x:v>
      </x:c>
      <x:c r="N9" s="20" t="str"/>
      <x:c r="O9" s="21" t="n">
        <x:v>0</x:v>
      </x:c>
    </x:row>
    <x:row r="10">
      <x:c r="A10" s="19" t="str">
        <x:v>WBS-009</x:v>
      </x:c>
      <x:c r="B10" s="20" t="str">
        <x:v>W5</x:v>
      </x:c>
      <x:c r="C10" s="20" t="str">
        <x:v>推理与事件</x:v>
      </x:c>
      <x:c r="D10" s="20" t="str">
        <x:v>动作识别、负荷趋势、事件证据窗</x:v>
      </x:c>
      <x:c r="E10" s="20" t="str">
        <x:v>算法/后端</x:v>
      </x:c>
      <x:c r="F10" s="20" t="str">
        <x:v>P0</x:v>
      </x:c>
      <x:c r="G10" s="20" t="str">
        <x:v>WBS-007,WBS-008</x:v>
      </x:c>
      <x:c r="H10" s="34" t="n">
        <x:v>46257</x:v>
      </x:c>
      <x:c r="I10" s="34" t="n">
        <x:v>46263</x:v>
      </x:c>
      <x:c r="J10" s="20" t="str">
        <x:v>未开始</x:v>
      </x:c>
      <x:c r="K10" s="38" t="n">
        <x:v>0</x:v>
      </x:c>
      <x:c r="L10" s="20" t="str">
        <x:v>G3</x:v>
      </x:c>
      <x:c r="M10" s="20" t="str">
        <x:v>推理服务</x:v>
      </x:c>
      <x:c r="N10" s="20" t="str"/>
      <x:c r="O10" s="21" t="n">
        <x:v>0</x:v>
      </x:c>
    </x:row>
    <x:row r="11">
      <x:c r="A11" s="19" t="str">
        <x:v>WBS-010</x:v>
      </x:c>
      <x:c r="B11" s="20" t="str">
        <x:v>W6</x:v>
      </x:c>
      <x:c r="C11" s="20" t="str">
        <x:v>评测回滚</x:v>
      </x:c>
      <x:c r="D11" s="20" t="str">
        <x:v>模型评测、模型卡、影子运行与回滚</x:v>
      </x:c>
      <x:c r="E11" s="20" t="str">
        <x:v>算法/测试</x:v>
      </x:c>
      <x:c r="F11" s="20" t="str">
        <x:v>P0</x:v>
      </x:c>
      <x:c r="G11" s="20" t="str">
        <x:v>WBS-009</x:v>
      </x:c>
      <x:c r="H11" s="34" t="n">
        <x:v>46264</x:v>
      </x:c>
      <x:c r="I11" s="34" t="n">
        <x:v>46270</x:v>
      </x:c>
      <x:c r="J11" s="20" t="str">
        <x:v>未开始</x:v>
      </x:c>
      <x:c r="K11" s="38" t="n">
        <x:v>0</x:v>
      </x:c>
      <x:c r="L11" s="20" t="str">
        <x:v>G3</x:v>
      </x:c>
      <x:c r="M11" s="20" t="str">
        <x:v>评测报告</x:v>
      </x:c>
      <x:c r="N11" s="20" t="str"/>
      <x:c r="O11" s="21" t="n">
        <x:v>0</x:v>
      </x:c>
    </x:row>
    <x:row r="12">
      <x:c r="A12" s="19" t="str">
        <x:v>WBS-011</x:v>
      </x:c>
      <x:c r="B12" s="20" t="str">
        <x:v>W7</x:v>
      </x:c>
      <x:c r="C12" s="20" t="str">
        <x:v>业务协同</x:v>
      </x:c>
      <x:c r="D12" s="20" t="str">
        <x:v>人员/设备/任务/区域及任务推荐</x:v>
      </x:c>
      <x:c r="E12" s="20" t="str">
        <x:v>产品/后端</x:v>
      </x:c>
      <x:c r="F12" s="20" t="str">
        <x:v>P0</x:v>
      </x:c>
      <x:c r="G12" s="20" t="str">
        <x:v>WBS-004</x:v>
      </x:c>
      <x:c r="H12" s="34" t="n">
        <x:v>46271</x:v>
      </x:c>
      <x:c r="I12" s="34" t="n">
        <x:v>46277</x:v>
      </x:c>
      <x:c r="J12" s="20" t="str">
        <x:v>未开始</x:v>
      </x:c>
      <x:c r="K12" s="38" t="n">
        <x:v>0</x:v>
      </x:c>
      <x:c r="L12" s="20" t="str">
        <x:v>G4</x:v>
      </x:c>
      <x:c r="M12" s="20" t="str">
        <x:v>任务协同</x:v>
      </x:c>
      <x:c r="N12" s="20" t="str"/>
      <x:c r="O12" s="21" t="n">
        <x:v>0</x:v>
      </x:c>
    </x:row>
    <x:row r="13">
      <x:c r="A13" s="19" t="str">
        <x:v>WBS-012</x:v>
      </x:c>
      <x:c r="B13" s="20" t="str">
        <x:v>W8</x:v>
      </x:c>
      <x:c r="C13" s="20" t="str">
        <x:v>助手与报告</x:v>
      </x:c>
      <x:c r="D13" s="20" t="str">
        <x:v>本地查询、证据引用、场景评估报告</x:v>
      </x:c>
      <x:c r="E13" s="20" t="str">
        <x:v>算法/前端</x:v>
      </x:c>
      <x:c r="F13" s="20" t="str">
        <x:v>P0</x:v>
      </x:c>
      <x:c r="G13" s="20" t="str">
        <x:v>WBS-009,WBS-011</x:v>
      </x:c>
      <x:c r="H13" s="34" t="n">
        <x:v>46278</x:v>
      </x:c>
      <x:c r="I13" s="34" t="n">
        <x:v>46284</x:v>
      </x:c>
      <x:c r="J13" s="20" t="str">
        <x:v>未开始</x:v>
      </x:c>
      <x:c r="K13" s="38" t="n">
        <x:v>0</x:v>
      </x:c>
      <x:c r="L13" s="20" t="str">
        <x:v>G4</x:v>
      </x:c>
      <x:c r="M13" s="20" t="str">
        <x:v>助手与报告</x:v>
      </x:c>
      <x:c r="N13" s="20" t="str"/>
      <x:c r="O13" s="21" t="n">
        <x:v>0</x:v>
      </x:c>
    </x:row>
    <x:row r="14">
      <x:c r="A14" s="19" t="str">
        <x:v>WBS-013</x:v>
      </x:c>
      <x:c r="B14" s="20" t="str">
        <x:v>W9</x:v>
      </x:c>
      <x:c r="C14" s="20" t="str">
        <x:v>演示闭环</x:v>
      </x:c>
      <x:c r="D14" s="20" t="str">
        <x:v>六步脚本、一键重置、离线安装</x:v>
      </x:c>
      <x:c r="E14" s="20" t="str">
        <x:v>全体</x:v>
      </x:c>
      <x:c r="F14" s="20" t="str">
        <x:v>P0</x:v>
      </x:c>
      <x:c r="G14" s="20" t="str">
        <x:v>WBS-010,WBS-012</x:v>
      </x:c>
      <x:c r="H14" s="34" t="n">
        <x:v>46285</x:v>
      </x:c>
      <x:c r="I14" s="34" t="n">
        <x:v>46291</x:v>
      </x:c>
      <x:c r="J14" s="20" t="str">
        <x:v>未开始</x:v>
      </x:c>
      <x:c r="K14" s="38" t="n">
        <x:v>0</x:v>
      </x:c>
      <x:c r="L14" s="20" t="str">
        <x:v>G4</x:v>
      </x:c>
      <x:c r="M14" s="20" t="str">
        <x:v>V0.5演示版</x:v>
      </x:c>
      <x:c r="N14" s="20" t="str">
        <x:v>停止扩功能</x:v>
      </x:c>
      <x:c r="O14" s="21" t="n">
        <x:v>0</x:v>
      </x:c>
    </x:row>
    <x:row r="15">
      <x:c r="A15" s="19" t="str">
        <x:v>WBS-014</x:v>
      </x:c>
      <x:c r="B15" s="20" t="str">
        <x:v>W10</x:v>
      </x:c>
      <x:c r="C15" s="20" t="str">
        <x:v>系统测试</x:v>
      </x:c>
      <x:c r="D15" s="20" t="str">
        <x:v>长稳、掉线、故障注入、权限与恢复</x:v>
      </x:c>
      <x:c r="E15" s="20" t="str">
        <x:v>测试/交付</x:v>
      </x:c>
      <x:c r="F15" s="20" t="str">
        <x:v>P0</x:v>
      </x:c>
      <x:c r="G15" s="20" t="str">
        <x:v>WBS-013</x:v>
      </x:c>
      <x:c r="H15" s="34" t="n">
        <x:v>46292</x:v>
      </x:c>
      <x:c r="I15" s="34" t="n">
        <x:v>46298</x:v>
      </x:c>
      <x:c r="J15" s="20" t="str">
        <x:v>未开始</x:v>
      </x:c>
      <x:c r="K15" s="38" t="n">
        <x:v>0</x:v>
      </x:c>
      <x:c r="L15" s="20" t="str">
        <x:v>G5</x:v>
      </x:c>
      <x:c r="M15" s="20" t="str">
        <x:v>测试报告</x:v>
      </x:c>
      <x:c r="N15" s="20" t="str"/>
      <x:c r="O15" s="21" t="n">
        <x:v>0</x:v>
      </x:c>
    </x:row>
    <x:row r="16">
      <x:c r="A16" s="19" t="str">
        <x:v>WBS-015</x:v>
      </x:c>
      <x:c r="B16" s="20" t="str">
        <x:v>W11</x:v>
      </x:c>
      <x:c r="C16" s="20" t="str">
        <x:v>彩排交付</x:v>
      </x:c>
      <x:c r="D16" s="20" t="str">
        <x:v>3轮彩排、录像、讲稿、备机和应急切换</x:v>
      </x:c>
      <x:c r="E16" s="20" t="str">
        <x:v>商务/交付</x:v>
      </x:c>
      <x:c r="F16" s="20" t="str">
        <x:v>P0</x:v>
      </x:c>
      <x:c r="G16" s="20" t="str">
        <x:v>WBS-014</x:v>
      </x:c>
      <x:c r="H16" s="34" t="n">
        <x:v>46299</x:v>
      </x:c>
      <x:c r="I16" s="34" t="n">
        <x:v>46305</x:v>
      </x:c>
      <x:c r="J16" s="20" t="str">
        <x:v>未开始</x:v>
      </x:c>
      <x:c r="K16" s="38" t="n">
        <x:v>0</x:v>
      </x:c>
      <x:c r="L16" s="20" t="str">
        <x:v>G5</x:v>
      </x:c>
      <x:c r="M16" s="20" t="str">
        <x:v>交付包</x:v>
      </x:c>
      <x:c r="N16" s="20" t="str"/>
      <x:c r="O16" s="21" t="n">
        <x:v>0</x:v>
      </x:c>
    </x:row>
    <x:row r="17">
      <x:c r="A17" s="22" t="str">
        <x:v>WBS-016</x:v>
      </x:c>
      <x:c r="B17" s="23" t="str">
        <x:v>W12</x:v>
      </x:c>
      <x:c r="C17" s="23" t="str">
        <x:v>谈判交付</x:v>
      </x:c>
      <x:c r="D17" s="23" t="str">
        <x:v>G5评审、Demo Kit封箱和标杆接入清单</x:v>
      </x:c>
      <x:c r="E17" s="23" t="str">
        <x:v>决策人</x:v>
      </x:c>
      <x:c r="F17" s="23" t="str">
        <x:v>P0</x:v>
      </x:c>
      <x:c r="G17" s="23" t="str">
        <x:v>WBS-015</x:v>
      </x:c>
      <x:c r="H17" s="35" t="n">
        <x:v>46306</x:v>
      </x:c>
      <x:c r="I17" s="35" t="n">
        <x:v>46312</x:v>
      </x:c>
      <x:c r="J17" s="23" t="str">
        <x:v>未开始</x:v>
      </x:c>
      <x:c r="K17" s="39" t="n">
        <x:v>0</x:v>
      </x:c>
      <x:c r="L17" s="23" t="str">
        <x:v>G5</x:v>
      </x:c>
      <x:c r="M17" s="23" t="str">
        <x:v>谈判演示</x:v>
      </x:c>
      <x:c r="N17" s="23" t="str"/>
      <x:c r="O17" s="24" t="n">
        <x:v>0</x:v>
      </x:c>
    </x:row>
  </x:sheetData>
  <x:conditionalFormatting sqref="J2:J17">
    <x:cfRule type="expression" dxfId="0" priority="1">
      <x:formula>J2="阻塞"</x:formula>
    </x:cfRule>
    <x:cfRule type="expression" dxfId="1" priority="2">
      <x:formula>J2="已完成"</x:formula>
    </x:cfRule>
  </x:conditionalFormatting>
  <x:dataValidations count="2">
    <x:dataValidation type="list" sqref="J2:J200">
      <x:formula1>"未开始,进行中,阻塞,待评审,已完成,取消"</x:formula1>
    </x:dataValidation>
    <x:dataValidation type="list" sqref="F2:F2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310a0d28234fc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9" hidden="0" customWidth="1"/>
    <x:col min="4" max="4" width="30" hidden="0" customWidth="1"/>
    <x:col min="5" max="5" width="30" hidden="0" customWidth="1"/>
    <x:col min="6" max="6" width="13" hidden="0" customWidth="1"/>
    <x:col min="7" max="7" width="22" hidden="0" customWidth="1"/>
    <x:col min="8" max="8" width="18" hidden="0" customWidth="1"/>
    <x:col min="9" max="9" width="14" hidden="0" customWidth="1"/>
    <x:col min="10" max="10" width="10" hidden="0" customWidth="1"/>
    <x:col min="11" max="11" width="18" hidden="0" customWidth="1"/>
    <x:col min="12" max="12" width="12" hidden="0" customWidth="1"/>
  </x:cols>
  <x:sheetData>
    <x:row r="1">
      <x:c r="A1" s="16" t="str">
        <x:v>需求ID</x:v>
      </x:c>
      <x:c r="B1" s="17" t="str">
        <x:v>模块</x:v>
      </x:c>
      <x:c r="C1" s="17" t="str">
        <x:v>优先级</x:v>
      </x:c>
      <x:c r="D1" s="17" t="str">
        <x:v>需求描述</x:v>
      </x:c>
      <x:c r="E1" s="17" t="str">
        <x:v>验收标准</x:v>
      </x:c>
      <x:c r="F1" s="17" t="str">
        <x:v>实现状态</x:v>
      </x:c>
      <x:c r="G1" s="17" t="str">
        <x:v>关联接口</x:v>
      </x:c>
      <x:c r="H1" s="17" t="str">
        <x:v>测试用例</x:v>
      </x:c>
      <x:c r="I1" s="17" t="str">
        <x:v>责任人</x:v>
      </x:c>
      <x:c r="J1" s="17" t="str">
        <x:v>版本</x:v>
      </x:c>
      <x:c r="K1" s="17" t="str">
        <x:v>备注</x:v>
      </x:c>
      <x:c r="L1" s="18" t="str">
        <x:v>P0原型完成标记</x:v>
      </x:c>
    </x:row>
    <x:row r="2">
      <x:c r="A2" s="19" t="str">
        <x:v>REQ-001</x:v>
      </x:c>
      <x:c r="B2" s="20" t="str">
        <x:v>设备管理</x:v>
      </x:c>
      <x:c r="C2" s="20" t="str">
        <x:v>P0</x:v>
      </x:c>
      <x:c r="D2" s="20" t="str">
        <x:v>设备注册、上线、人员绑定、版本与健康状态</x:v>
      </x:c>
      <x:c r="E2" s="20" t="str">
        <x:v>上线后10秒内可见；掉线可识别</x:v>
      </x:c>
      <x:c r="F2" s="20" t="str">
        <x:v>设计完成</x:v>
      </x:c>
      <x:c r="G2" s="20" t="str">
        <x:v>GET /devices</x:v>
      </x:c>
      <x:c r="H2" s="20" t="str">
        <x:v>TC-001,TC-002</x:v>
      </x:c>
      <x:c r="I2" s="20" t="str">
        <x:v>设备/后端</x:v>
      </x:c>
      <x:c r="J2" s="20" t="str">
        <x:v>V0.1</x:v>
      </x:c>
      <x:c r="K2" s="20" t="str"/>
      <x:c r="L2" s="21" t="n">
        <x:v>0</x:v>
      </x:c>
    </x:row>
    <x:row r="3">
      <x:c r="A3" s="19" t="str">
        <x:v>REQ-002</x:v>
      </x:c>
      <x:c r="B3" s="20" t="str">
        <x:v>实时态势</x:v>
      </x:c>
      <x:c r="C3" s="20" t="str">
        <x:v>P0</x:v>
      </x:c>
      <x:c r="D3" s="20" t="str">
        <x:v>动作、负荷、任务、风险、区域、设备状态</x:v>
      </x:c>
      <x:c r="E3" s="20" t="str">
        <x:v>关键状态≤2秒更新</x:v>
      </x:c>
      <x:c r="F3" s="20" t="str">
        <x:v>原型完成</x:v>
      </x:c>
      <x:c r="G3" s="20" t="str">
        <x:v>GET /telemetry</x:v>
      </x:c>
      <x:c r="H3" s="20" t="str">
        <x:v>TC-004</x:v>
      </x:c>
      <x:c r="I3" s="20" t="str">
        <x:v>前端/后端</x:v>
      </x:c>
      <x:c r="J3" s="20" t="str">
        <x:v>V0.5</x:v>
      </x:c>
      <x:c r="K3" s="20" t="str">
        <x:v>模拟数据</x:v>
      </x:c>
      <x:c r="L3" s="21" t="n">
        <x:v>1</x:v>
      </x:c>
    </x:row>
    <x:row r="4">
      <x:c r="A4" s="19" t="str">
        <x:v>REQ-003</x:v>
      </x:c>
      <x:c r="B4" s="20" t="str">
        <x:v>动作推理</x:v>
      </x:c>
      <x:c r="C4" s="20" t="str">
        <x:v>P0</x:v>
      </x:c>
      <x:c r="D4" s="20" t="str">
        <x:v>站立、行走、弯腰、搬举等3—5类</x:v>
      </x:c>
      <x:c r="E4" s="20" t="str">
        <x:v>标签、依据、版本与unknown</x:v>
      </x:c>
      <x:c r="F4" s="20" t="str">
        <x:v>原型完成</x:v>
      </x:c>
      <x:c r="G4" s="20" t="str">
        <x:v>Inference API</x:v>
      </x:c>
      <x:c r="H4" s="20" t="str">
        <x:v>TC-004</x:v>
      </x:c>
      <x:c r="I4" s="20" t="str">
        <x:v>算法</x:v>
      </x:c>
      <x:c r="J4" s="20" t="str">
        <x:v>V0.5</x:v>
      </x:c>
      <x:c r="K4" s="20" t="str">
        <x:v>规则推理；待真实评测</x:v>
      </x:c>
      <x:c r="L4" s="21" t="n">
        <x:v>1</x:v>
      </x:c>
    </x:row>
    <x:row r="5">
      <x:c r="A5" s="19" t="str">
        <x:v>REQ-004</x:v>
      </x:c>
      <x:c r="B5" s="20" t="str">
        <x:v>风险事件</x:v>
      </x:c>
      <x:c r="C5" s="20" t="str">
        <x:v>P0</x:v>
      </x:c>
      <x:c r="D5" s="20" t="str">
        <x:v>连续高负荷、异常姿态、设备异常</x:v>
      </x:c>
      <x:c r="E5" s="20" t="str">
        <x:v>事件、等级、证据窗与处置</x:v>
      </x:c>
      <x:c r="F5" s="20" t="str">
        <x:v>原型完成</x:v>
      </x:c>
      <x:c r="G5" s="20" t="str">
        <x:v>GET /events</x:v>
      </x:c>
      <x:c r="H5" s="20" t="str">
        <x:v>TC-005</x:v>
      </x:c>
      <x:c r="I5" s="20" t="str">
        <x:v>算法/后端</x:v>
      </x:c>
      <x:c r="J5" s="20" t="str">
        <x:v>V0.5</x:v>
      </x:c>
      <x:c r="K5" s="20" t="str"/>
      <x:c r="L5" s="21" t="n">
        <x:v>1</x:v>
      </x:c>
    </x:row>
    <x:row r="6">
      <x:c r="A6" s="19" t="str">
        <x:v>REQ-005</x:v>
      </x:c>
      <x:c r="B6" s="20" t="str">
        <x:v>数据回放</x:v>
      </x:c>
      <x:c r="C6" s="20" t="str">
        <x:v>P0</x:v>
      </x:c>
      <x:c r="D6" s="20" t="str">
        <x:v>按人/设备/事件回放时序数据</x:v>
      </x:c>
      <x:c r="E6" s="20" t="str">
        <x:v>事件前后记录可定位和导出</x:v>
      </x:c>
      <x:c r="F6" s="20" t="str">
        <x:v>原型完成</x:v>
      </x:c>
      <x:c r="G6" s="20" t="str">
        <x:v>Telemetry/Event</x:v>
      </x:c>
      <x:c r="H6" s="20" t="str">
        <x:v>TC-005</x:v>
      </x:c>
      <x:c r="I6" s="20" t="str">
        <x:v>前端/后端</x:v>
      </x:c>
      <x:c r="J6" s="20" t="str">
        <x:v>V0.5</x:v>
      </x:c>
      <x:c r="K6" s="20" t="str"/>
      <x:c r="L6" s="21" t="n">
        <x:v>1</x:v>
      </x:c>
    </x:row>
    <x:row r="7">
      <x:c r="A7" s="19" t="str">
        <x:v>REQ-006</x:v>
      </x:c>
      <x:c r="B7" s="20" t="str">
        <x:v>任务协同</x:v>
      </x:c>
      <x:c r="C7" s="20" t="str">
        <x:v>P0</x:v>
      </x:c>
      <x:c r="D7" s="20" t="str">
        <x:v>按技能、区域、负荷、时长、风险推荐人员</x:v>
      </x:c>
      <x:c r="E7" s="20" t="str">
        <x:v>分项得分、硬约束、人工确认</x:v>
      </x:c>
      <x:c r="F7" s="20" t="str">
        <x:v>原型完成</x:v>
      </x:c>
      <x:c r="G7" s="20" t="str">
        <x:v>POST /tasks/recommend</x:v>
      </x:c>
      <x:c r="H7" s="20" t="str">
        <x:v>TC-006</x:v>
      </x:c>
      <x:c r="I7" s="20" t="str">
        <x:v>产品/后端</x:v>
      </x:c>
      <x:c r="J7" s="20" t="str">
        <x:v>V0.5</x:v>
      </x:c>
      <x:c r="K7" s="20" t="str"/>
      <x:c r="L7" s="21" t="n">
        <x:v>1</x:v>
      </x:c>
    </x:row>
    <x:row r="8">
      <x:c r="A8" s="19" t="str">
        <x:v>REQ-007</x:v>
      </x:c>
      <x:c r="B8" s="20" t="str">
        <x:v>本地助手</x:v>
      </x:c>
      <x:c r="C8" s="20" t="str">
        <x:v>P0</x:v>
      </x:c>
      <x:c r="D8" s="20" t="str">
        <x:v>查询负荷、事件并引用本地证据</x:v>
      </x:c>
      <x:c r="E8" s="20" t="str">
        <x:v>无证据或越界拒答</x:v>
      </x:c>
      <x:c r="F8" s="20" t="str">
        <x:v>原型完成</x:v>
      </x:c>
      <x:c r="G8" s="20" t="str">
        <x:v>POST /query</x:v>
      </x:c>
      <x:c r="H8" s="20" t="str">
        <x:v>TC-007,TC-008</x:v>
      </x:c>
      <x:c r="I8" s="20" t="str">
        <x:v>算法</x:v>
      </x:c>
      <x:c r="J8" s="20" t="str">
        <x:v>V0.5</x:v>
      </x:c>
      <x:c r="K8" s="20" t="str">
        <x:v>规则式本地查询</x:v>
      </x:c>
      <x:c r="L8" s="21" t="n">
        <x:v>1</x:v>
      </x:c>
    </x:row>
    <x:row r="9">
      <x:c r="A9" s="19" t="str">
        <x:v>REQ-008</x:v>
      </x:c>
      <x:c r="B9" s="20" t="str">
        <x:v>场景评估</x:v>
      </x:c>
      <x:c r="C9" s="20" t="str">
        <x:v>P0</x:v>
      </x:c>
      <x:c r="D9" s="20" t="str">
        <x:v>输入客户参数生成试点建议</x:v>
      </x:c>
      <x:c r="E9" s="20" t="str">
        <x:v>适配度、配置、KPI、前置条件</x:v>
      </x:c>
      <x:c r="F9" s="20" t="str">
        <x:v>原型完成</x:v>
      </x:c>
      <x:c r="G9" s="20" t="str">
        <x:v>POST /scenario/evaluate</x:v>
      </x:c>
      <x:c r="H9" s="20" t="str">
        <x:v>TC-011</x:v>
      </x:c>
      <x:c r="I9" s="20" t="str">
        <x:v>产品/前端</x:v>
      </x:c>
      <x:c r="J9" s="20" t="str">
        <x:v>V0.5</x:v>
      </x:c>
      <x:c r="K9" s="20" t="str">
        <x:v>模拟评估</x:v>
      </x:c>
      <x:c r="L9" s="21" t="n">
        <x:v>1</x:v>
      </x:c>
    </x:row>
    <x:row r="10">
      <x:c r="A10" s="19" t="str">
        <x:v>REQ-009</x:v>
      </x:c>
      <x:c r="B10" s="20" t="str">
        <x:v>离线部署</x:v>
      </x:c>
      <x:c r="C10" s="20" t="str">
        <x:v>P0</x:v>
      </x:c>
      <x:c r="D10" s="20" t="str">
        <x:v>无公网运行并可一键恢复</x:v>
      </x:c>
      <x:c r="E10" s="20" t="str">
        <x:v>六步脚本离线完成；2分钟重置</x:v>
      </x:c>
      <x:c r="F10" s="20" t="str">
        <x:v>原型完成</x:v>
      </x:c>
      <x:c r="G10" s="20" t="str">
        <x:v>POST /reset</x:v>
      </x:c>
      <x:c r="H10" s="20" t="str">
        <x:v>TC-009,TC-010</x:v>
      </x:c>
      <x:c r="I10" s="20" t="str">
        <x:v>架构/交付</x:v>
      </x:c>
      <x:c r="J10" s="20" t="str">
        <x:v>V0.5</x:v>
      </x:c>
      <x:c r="K10" s="20" t="str"/>
      <x:c r="L10" s="21" t="n">
        <x:v>1</x:v>
      </x:c>
    </x:row>
    <x:row r="11">
      <x:c r="A11" s="19" t="str">
        <x:v>REQ-010</x:v>
      </x:c>
      <x:c r="B11" s="20" t="str">
        <x:v>来源标识</x:v>
      </x:c>
      <x:c r="C11" s="20" t="str">
        <x:v>P0</x:v>
      </x:c>
      <x:c r="D11" s="20" t="str">
        <x:v>真实/受控/模拟标签贯穿页面和导出</x:v>
      </x:c>
      <x:c r="E11" s="20" t="str">
        <x:v>不可隐藏或关闭</x:v>
      </x:c>
      <x:c r="F11" s="20" t="str">
        <x:v>原型完成</x:v>
      </x:c>
      <x:c r="G11" s="20" t="str">
        <x:v>全局</x:v>
      </x:c>
      <x:c r="H11" s="20" t="str">
        <x:v>TC-012</x:v>
      </x:c>
      <x:c r="I11" s="20" t="str">
        <x:v>产品/合规</x:v>
      </x:c>
      <x:c r="J11" s="20" t="str">
        <x:v>V0.5</x:v>
      </x:c>
      <x:c r="K11" s="20" t="str"/>
      <x:c r="L11" s="21" t="n">
        <x:v>1</x:v>
      </x:c>
    </x:row>
    <x:row r="12">
      <x:c r="A12" s="19" t="str">
        <x:v>REQ-011</x:v>
      </x:c>
      <x:c r="B12" s="20" t="str">
        <x:v>权限审计</x:v>
      </x:c>
      <x:c r="C12" s="20" t="str">
        <x:v>P1</x:v>
      </x:c>
      <x:c r="D12" s="20" t="str">
        <x:v>角色、字段访问、导出审计</x:v>
      </x:c>
      <x:c r="E12" s="20" t="str">
        <x:v>标杆版完整权限与审计</x:v>
      </x:c>
      <x:c r="F12" s="20" t="str">
        <x:v>设计完成</x:v>
      </x:c>
      <x:c r="G12" s="20" t="str">
        <x:v>Auth/Audit</x:v>
      </x:c>
      <x:c r="H12" s="20" t="str">
        <x:v>TC-020</x:v>
      </x:c>
      <x:c r="I12" s="20" t="str">
        <x:v>后端/合规</x:v>
      </x:c>
      <x:c r="J12" s="20" t="str">
        <x:v>V1.0</x:v>
      </x:c>
      <x:c r="K12" s="20" t="str"/>
      <x:c r="L12" s="21" t="n">
        <x:v>0</x:v>
      </x:c>
    </x:row>
    <x:row r="13">
      <x:c r="A13" s="22" t="str">
        <x:v>REQ-012</x:v>
      </x:c>
      <x:c r="B13" s="23" t="str">
        <x:v>捷顺接口</x:v>
      </x:c>
      <x:c r="C13" s="23" t="str">
        <x:v>P1</x:v>
      </x:c>
      <x:c r="D13" s="23" t="str">
        <x:v>设备、区域、事件、任务数据对接</x:v>
      </x:c>
      <x:c r="E13" s="23" t="str">
        <x:v>按正式接口映射和联调</x:v>
      </x:c>
      <x:c r="F13" s="23" t="str">
        <x:v>待接口</x:v>
      </x:c>
      <x:c r="G13" s="23" t="str">
        <x:v>OpenAPI</x:v>
      </x:c>
      <x:c r="H13" s="23" t="str">
        <x:v>TC-021</x:v>
      </x:c>
      <x:c r="I13" s="23" t="str">
        <x:v>架构</x:v>
      </x:c>
      <x:c r="J13" s="23" t="str">
        <x:v>V1.0</x:v>
      </x:c>
      <x:c r="K13" s="23" t="str"/>
      <x:c r="L13" s="24" t="n">
        <x:v>0</x:v>
      </x:c>
    </x:row>
  </x:sheetData>
  <x:dataValidations count="2">
    <x:dataValidation type="list" sqref="C2:C200">
      <x:formula1>"P0,P1,P2"</x:formula1>
    </x:dataValidation>
    <x:dataValidation type="list" sqref="F2:F200">
      <x:formula1>"未开始,设计完成,开发中,原型完成,待接口,阻塞,已验收"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6a897c477c4f4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38" hidden="0" customWidth="1"/>
    <x:col min="4" max="4" width="16" hidden="0" customWidth="1"/>
    <x:col min="5" max="5" width="16" hidden="0" customWidth="1"/>
    <x:col min="6" max="6" width="26" hidden="0" customWidth="1"/>
    <x:col min="7" max="7" width="25" hidden="0" customWidth="1"/>
    <x:col min="8" max="8" width="10" hidden="0" customWidth="1"/>
  </x:cols>
  <x:sheetData>
    <x:row r="1">
      <x:c r="A1" s="16" t="str">
        <x:v>门禁</x:v>
      </x:c>
      <x:c r="B1" s="17" t="str">
        <x:v>计划时点</x:v>
      </x:c>
      <x:c r="C1" s="17" t="str">
        <x:v>通过条件</x:v>
      </x:c>
      <x:c r="D1" s="17" t="str">
        <x:v>状态</x:v>
      </x:c>
      <x:c r="E1" s="17" t="str">
        <x:v>责任人</x:v>
      </x:c>
      <x:c r="F1" s="17" t="str">
        <x:v>证据位置</x:v>
      </x:c>
      <x:c r="G1" s="17" t="str">
        <x:v>未通过处理</x:v>
      </x:c>
      <x:c r="H1" s="18" t="str">
        <x:v>阻塞标记</x:v>
      </x:c>
    </x:row>
    <x:row r="2">
      <x:c r="A2" s="19" t="str">
        <x:v>G1 基线冻结</x:v>
      </x:c>
      <x:c r="B2" s="20" t="str">
        <x:v>W2末</x:v>
      </x:c>
      <x:c r="C2" s="20" t="str">
        <x:v>产品定义、剧本、架构、接口、数据字典和验收批准</x:v>
      </x:c>
      <x:c r="D2" s="20" t="str">
        <x:v>材料已完成</x:v>
      </x:c>
      <x:c r="E2" s="20" t="str">
        <x:v>决策人</x:v>
      </x:c>
      <x:c r="F2" s="20" t="str">
        <x:v>01_开发基线</x:v>
      </x:c>
      <x:c r="G2" s="20" t="str">
        <x:v>冻结开发并补齐缺口</x:v>
      </x:c>
      <x:c r="H2" s="21" t="n">
        <x:v>0</x:v>
      </x:c>
    </x:row>
    <x:row r="3">
      <x:c r="A3" s="19" t="str">
        <x:v>G2 真机链路</x:v>
      </x:c>
      <x:c r="B3" s="20" t="str">
        <x:v>W3末</x:v>
      </x:c>
      <x:c r="C3" s="20" t="str">
        <x:v>真机连续采集≥2小时、断线恢复、数据回放</x:v>
      </x:c>
      <x:c r="D3" s="20" t="str">
        <x:v>阻塞</x:v>
      </x:c>
      <x:c r="E3" s="20" t="str">
        <x:v>设备负责人</x:v>
      </x:c>
      <x:c r="F3" s="20" t="str">
        <x:v>待真实协议与设备</x:v>
      </x:c>
      <x:c r="G3" s="20" t="str">
        <x:v>优先修协议和硬件</x:v>
      </x:c>
      <x:c r="H3" s="21" t="n">
        <x:v>1</x:v>
      </x:c>
    </x:row>
    <x:row r="4">
      <x:c r="A4" s="19" t="str">
        <x:v>G3 算法可用</x:v>
      </x:c>
      <x:c r="B4" s="20" t="str">
        <x:v>W6末</x:v>
      </x:c>
      <x:c r="C4" s="20" t="str">
        <x:v>核心动作/风险达到约定指标，可解释、可回滚</x:v>
      </x:c>
      <x:c r="D4" s="20" t="str">
        <x:v>阻塞</x:v>
      </x:c>
      <x:c r="E4" s="20" t="str">
        <x:v>算法负责人</x:v>
      </x:c>
      <x:c r="F4" s="20" t="str">
        <x:v>待真实受控数据</x:v>
      </x:c>
      <x:c r="G4" s="20" t="str">
        <x:v>收缩动作集或规则兜底</x:v>
      </x:c>
      <x:c r="H4" s="21" t="n">
        <x:v>1</x:v>
      </x:c>
    </x:row>
    <x:row r="5">
      <x:c r="A5" s="19" t="str">
        <x:v>G4 演示闭环</x:v>
      </x:c>
      <x:c r="B5" s="20" t="str">
        <x:v>W9末</x:v>
      </x:c>
      <x:c r="C5" s="20" t="str">
        <x:v>断网六步演示、一键重置、真机/模拟切换</x:v>
      </x:c>
      <x:c r="D5" s="20" t="str">
        <x:v>模拟原型完成</x:v>
      </x:c>
      <x:c r="E5" s="20" t="str">
        <x:v>产品/交付</x:v>
      </x:c>
      <x:c r="F5" s="20" t="str">
        <x:v>06_Demo_Prototype</x:v>
      </x:c>
      <x:c r="G5" s="20" t="str">
        <x:v>停止扩功能并修复链路</x:v>
      </x:c>
      <x:c r="H5" s="21" t="n">
        <x:v>0</x:v>
      </x:c>
    </x:row>
    <x:row r="6">
      <x:c r="A6" s="22" t="str">
        <x:v>G5 谈判交付</x:v>
      </x:c>
      <x:c r="B6" s="23" t="str">
        <x:v>W12末</x:v>
      </x:c>
      <x:c r="C6" s="23" t="str">
        <x:v>3轮彩排、交付包、录像、备机和应急脚本</x:v>
      </x:c>
      <x:c r="D6" s="23" t="str">
        <x:v>材料完成</x:v>
      </x:c>
      <x:c r="E6" s="23" t="str">
        <x:v>决策人</x:v>
      </x:c>
      <x:c r="F6" s="23" t="str">
        <x:v>01/05/06目录</x:v>
      </x:c>
      <x:c r="G6" s="23" t="str">
        <x:v>未通过不得对外</x:v>
      </x:c>
      <x:c r="H6" s="24" t="n">
        <x:v>0</x:v>
      </x:c>
    </x:row>
  </x:sheetData>
  <x:conditionalFormatting sqref="D2:D6">
    <x:cfRule type="expression" dxfId="2" priority="1">
      <x:formula>D2="阻塞"</x:formula>
    </x:cfRule>
  </x:conditionalFormatting>
  <x:dataValidations count="1">
    <x:dataValidation type="list" sqref="D2:D100">
      <x:formula1>"未开始,材料已完成,材料完成,模拟原型完成,进行中,阻塞,有条件通过,通过,不通过"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6" t="str">
        <x:v>事项</x:v>
      </x:c>
      <x:c r="B1" s="17" t="str">
        <x:v>决策人</x:v>
      </x:c>
      <x:c r="C1" s="17" t="str">
        <x:v>产品</x:v>
      </x:c>
      <x:c r="D1" s="17" t="str">
        <x:v>技术</x:v>
      </x:c>
      <x:c r="E1" s="17" t="str">
        <x:v>算法</x:v>
      </x:c>
      <x:c r="F1" s="17" t="str">
        <x:v>设备/后端</x:v>
      </x:c>
      <x:c r="G1" s="17" t="str">
        <x:v>测试/交付</x:v>
      </x:c>
      <x:c r="H1" s="18" t="str">
        <x:v>商务/合规</x:v>
      </x:c>
    </x:row>
    <x:row r="2">
      <x:c r="A2" s="19" t="str">
        <x:v>产品范围与非目标</x:v>
      </x:c>
      <x:c r="B2" s="20" t="str">
        <x:v>A</x:v>
      </x:c>
      <x:c r="C2" s="20" t="str">
        <x:v>R</x:v>
      </x:c>
      <x:c r="D2" s="20" t="str">
        <x:v>C</x:v>
      </x:c>
      <x:c r="E2" s="20" t="str">
        <x:v>C</x:v>
      </x:c>
      <x:c r="F2" s="20" t="str">
        <x:v>C</x:v>
      </x:c>
      <x:c r="G2" s="20" t="str">
        <x:v>C</x:v>
      </x:c>
      <x:c r="H2" s="21" t="str">
        <x:v>C</x:v>
      </x:c>
    </x:row>
    <x:row r="3">
      <x:c r="A3" s="19" t="str">
        <x:v>演示剧本</x:v>
      </x:c>
      <x:c r="B3" s="20" t="str">
        <x:v>A</x:v>
      </x:c>
      <x:c r="C3" s="20" t="str">
        <x:v>R</x:v>
      </x:c>
      <x:c r="D3" s="20" t="str">
        <x:v>C</x:v>
      </x:c>
      <x:c r="E3" s="20" t="str">
        <x:v>C</x:v>
      </x:c>
      <x:c r="F3" s="20" t="str">
        <x:v>C</x:v>
      </x:c>
      <x:c r="G3" s="20" t="str">
        <x:v>R</x:v>
      </x:c>
      <x:c r="H3" s="21" t="str">
        <x:v>C</x:v>
      </x:c>
    </x:row>
    <x:row r="4">
      <x:c r="A4" s="19" t="str">
        <x:v>总体架构</x:v>
      </x:c>
      <x:c r="B4" s="20" t="str">
        <x:v>C</x:v>
      </x:c>
      <x:c r="C4" s="20" t="str">
        <x:v>C</x:v>
      </x:c>
      <x:c r="D4" s="20" t="str">
        <x:v>A/R</x:v>
      </x:c>
      <x:c r="E4" s="20" t="str">
        <x:v>C</x:v>
      </x:c>
      <x:c r="F4" s="20" t="str">
        <x:v>R</x:v>
      </x:c>
      <x:c r="G4" s="20" t="str">
        <x:v>C</x:v>
      </x:c>
      <x:c r="H4" s="21" t="str">
        <x:v>I</x:v>
      </x:c>
    </x:row>
    <x:row r="5">
      <x:c r="A5" s="19" t="str">
        <x:v>设备协议</x:v>
      </x:c>
      <x:c r="B5" s="20" t="str">
        <x:v>I</x:v>
      </x:c>
      <x:c r="C5" s="20" t="str">
        <x:v>C</x:v>
      </x:c>
      <x:c r="D5" s="20" t="str">
        <x:v>A</x:v>
      </x:c>
      <x:c r="E5" s="20" t="str">
        <x:v>C</x:v>
      </x:c>
      <x:c r="F5" s="20" t="str">
        <x:v>R</x:v>
      </x:c>
      <x:c r="G5" s="20" t="str">
        <x:v>C</x:v>
      </x:c>
      <x:c r="H5" s="21" t="str">
        <x:v>I</x:v>
      </x:c>
    </x:row>
    <x:row r="6">
      <x:c r="A6" s="19" t="str">
        <x:v>数据字典</x:v>
      </x:c>
      <x:c r="B6" s="20" t="str">
        <x:v>I</x:v>
      </x:c>
      <x:c r="C6" s="20" t="str">
        <x:v>A/R</x:v>
      </x:c>
      <x:c r="D6" s="20" t="str">
        <x:v>C</x:v>
      </x:c>
      <x:c r="E6" s="20" t="str">
        <x:v>R</x:v>
      </x:c>
      <x:c r="F6" s="20" t="str">
        <x:v>C</x:v>
      </x:c>
      <x:c r="G6" s="20" t="str">
        <x:v>C</x:v>
      </x:c>
      <x:c r="H6" s="21" t="str">
        <x:v>C</x:v>
      </x:c>
    </x:row>
    <x:row r="7">
      <x:c r="A7" s="19" t="str">
        <x:v>算法指标</x:v>
      </x:c>
      <x:c r="B7" s="20" t="str">
        <x:v>I</x:v>
      </x:c>
      <x:c r="C7" s="20" t="str">
        <x:v>C</x:v>
      </x:c>
      <x:c r="D7" s="20" t="str">
        <x:v>A</x:v>
      </x:c>
      <x:c r="E7" s="20" t="str">
        <x:v>R</x:v>
      </x:c>
      <x:c r="F7" s="20" t="str">
        <x:v>C</x:v>
      </x:c>
      <x:c r="G7" s="20" t="str">
        <x:v>R</x:v>
      </x:c>
      <x:c r="H7" s="21" t="str">
        <x:v>I</x:v>
      </x:c>
    </x:row>
    <x:row r="8">
      <x:c r="A8" s="19" t="str">
        <x:v>安全控制边界</x:v>
      </x:c>
      <x:c r="B8" s="20" t="str">
        <x:v>A</x:v>
      </x:c>
      <x:c r="C8" s="20" t="str">
        <x:v>C</x:v>
      </x:c>
      <x:c r="D8" s="20" t="str">
        <x:v>R</x:v>
      </x:c>
      <x:c r="E8" s="20" t="str">
        <x:v>C</x:v>
      </x:c>
      <x:c r="F8" s="20" t="str">
        <x:v>R</x:v>
      </x:c>
      <x:c r="G8" s="20" t="str">
        <x:v>C</x:v>
      </x:c>
      <x:c r="H8" s="21" t="str">
        <x:v>C</x:v>
      </x:c>
    </x:row>
    <x:row r="9">
      <x:c r="A9" s="19" t="str">
        <x:v>对外口径</x:v>
      </x:c>
      <x:c r="B9" s="20" t="str">
        <x:v>A</x:v>
      </x:c>
      <x:c r="C9" s="20" t="str">
        <x:v>R</x:v>
      </x:c>
      <x:c r="D9" s="20" t="str">
        <x:v>C</x:v>
      </x:c>
      <x:c r="E9" s="20" t="str">
        <x:v>C</x:v>
      </x:c>
      <x:c r="F9" s="20" t="str">
        <x:v>I</x:v>
      </x:c>
      <x:c r="G9" s="20" t="str">
        <x:v>C</x:v>
      </x:c>
      <x:c r="H9" s="21" t="str">
        <x:v>R</x:v>
      </x:c>
    </x:row>
    <x:row r="10">
      <x:c r="A10" s="19" t="str">
        <x:v>G1门禁</x:v>
      </x:c>
      <x:c r="B10" s="20" t="str">
        <x:v>A</x:v>
      </x:c>
      <x:c r="C10" s="20" t="str">
        <x:v>R</x:v>
      </x:c>
      <x:c r="D10" s="20" t="str">
        <x:v>R</x:v>
      </x:c>
      <x:c r="E10" s="20" t="str">
        <x:v>C</x:v>
      </x:c>
      <x:c r="F10" s="20" t="str">
        <x:v>C</x:v>
      </x:c>
      <x:c r="G10" s="20" t="str">
        <x:v>R</x:v>
      </x:c>
      <x:c r="H10" s="21" t="str">
        <x:v>C</x:v>
      </x:c>
    </x:row>
    <x:row r="11">
      <x:c r="A11" s="22" t="str">
        <x:v>G5交付</x:v>
      </x:c>
      <x:c r="B11" s="23" t="str">
        <x:v>A</x:v>
      </x:c>
      <x:c r="C11" s="23" t="str">
        <x:v>R</x:v>
      </x:c>
      <x:c r="D11" s="23" t="str">
        <x:v>R</x:v>
      </x:c>
      <x:c r="E11" s="23" t="str">
        <x:v>C</x:v>
      </x:c>
      <x:c r="F11" s="23" t="str">
        <x:v>C</x:v>
      </x:c>
      <x:c r="G11" s="23" t="str">
        <x:v>R</x:v>
      </x:c>
      <x:c r="H11" s="24" t="str">
        <x:v>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8" hidden="0" customWidth="1"/>
    <x:col min="4" max="4" width="24" hidden="0" customWidth="1"/>
    <x:col min="5" max="5" width="35" hidden="0" customWidth="1"/>
    <x:col min="6" max="6" width="14" hidden="0" customWidth="1"/>
    <x:col min="7" max="7" width="25" hidden="0" customWidth="1"/>
    <x:col min="8" max="8" width="14" hidden="0" customWidth="1"/>
    <x:col min="9" max="9" width="18" hidden="0" customWidth="1"/>
  </x:cols>
  <x:sheetData>
    <x:row r="1">
      <x:c r="A1" s="16" t="str">
        <x:v>接口ID</x:v>
      </x:c>
      <x:c r="B1" s="17" t="str">
        <x:v>方向</x:v>
      </x:c>
      <x:c r="C1" s="17" t="str">
        <x:v>对象</x:v>
      </x:c>
      <x:c r="D1" s="17" t="str">
        <x:v>协议/路径</x:v>
      </x:c>
      <x:c r="E1" s="17" t="str">
        <x:v>关键字段</x:v>
      </x:c>
      <x:c r="F1" s="17" t="str">
        <x:v>频率/超时</x:v>
      </x:c>
      <x:c r="G1" s="17" t="str">
        <x:v>安全要求</x:v>
      </x:c>
      <x:c r="H1" s="17" t="str">
        <x:v>状态</x:v>
      </x:c>
      <x:c r="I1" s="18" t="str">
        <x:v>依赖</x:v>
      </x:c>
    </x:row>
    <x:row r="2">
      <x:c r="A2" s="19" t="str">
        <x:v>IF-001</x:v>
      </x:c>
      <x:c r="B2" s="20" t="str">
        <x:v>设备→平台</x:v>
      </x:c>
      <x:c r="C2" s="20" t="str">
        <x:v>设备身份/状态</x:v>
      </x:c>
      <x:c r="D2" s="20" t="str">
        <x:v>适配器→标准消息</x:v>
      </x:c>
      <x:c r="E2" s="20" t="str">
        <x:v>device_id, firmware, health, fault</x:v>
      </x:c>
      <x:c r="F2" s="20" t="str">
        <x:v>心跳5s</x:v>
      </x:c>
      <x:c r="G2" s="20" t="str">
        <x:v>签名/白名单/审计</x:v>
      </x:c>
      <x:c r="H2" s="20" t="str">
        <x:v>模板完成</x:v>
      </x:c>
      <x:c r="I2" s="21" t="str">
        <x:v>真实协议</x:v>
      </x:c>
    </x:row>
    <x:row r="3">
      <x:c r="A3" s="19" t="str">
        <x:v>IF-002</x:v>
      </x:c>
      <x:c r="B3" s="20" t="str">
        <x:v>设备→平台</x:v>
      </x:c>
      <x:c r="C3" s="20" t="str">
        <x:v>遥测</x:v>
      </x:c>
      <x:c r="D3" s="20" t="str">
        <x:v>MQTT/HTTP/UDP适配</x:v>
      </x:c>
      <x:c r="E3" s="20" t="str">
        <x:v>timestamp, seq, IMU, torque, quality</x:v>
      </x:c>
      <x:c r="F3" s="20" t="str">
        <x:v>20—100Hz</x:v>
      </x:c>
      <x:c r="G3" s="20" t="str">
        <x:v>时间同步/质量标记</x:v>
      </x:c>
      <x:c r="H3" s="20" t="str">
        <x:v>模板完成</x:v>
      </x:c>
      <x:c r="I3" s="21" t="str">
        <x:v>真实协议</x:v>
      </x:c>
    </x:row>
    <x:row r="4">
      <x:c r="A4" s="19" t="str">
        <x:v>IF-003</x:v>
      </x:c>
      <x:c r="B4" s="20" t="str">
        <x:v>平台→设备</x:v>
      </x:c>
      <x:c r="C4" s="20" t="str">
        <x:v>任务/提示</x:v>
      </x:c>
      <x:c r="D4" s="20" t="str">
        <x:v>白名单命令</x:v>
      </x:c>
      <x:c r="E4" s="20" t="str">
        <x:v>task_id, zone, priority</x:v>
      </x:c>
      <x:c r="F4" s="20" t="str">
        <x:v>超时5s</x:v>
      </x:c>
      <x:c r="G4" s="20" t="str">
        <x:v>设备二次校验/幂等</x:v>
      </x:c>
      <x:c r="H4" s="20" t="str">
        <x:v>设计完成</x:v>
      </x:c>
      <x:c r="I4" s="21" t="str">
        <x:v>设备能力</x:v>
      </x:c>
    </x:row>
    <x:row r="5">
      <x:c r="A5" s="19" t="str">
        <x:v>IF-004</x:v>
      </x:c>
      <x:c r="B5" s="20" t="str">
        <x:v>平台→设备</x:v>
      </x:c>
      <x:c r="C5" s="20" t="str">
        <x:v>固件升级</x:v>
      </x:c>
      <x:c r="D5" s="20" t="str">
        <x:v>维护接口</x:v>
      </x:c>
      <x:c r="E5" s="20" t="str">
        <x:v>version, checksum, signature</x:v>
      </x:c>
      <x:c r="F5" s="20" t="str">
        <x:v>维护窗口</x:v>
      </x:c>
      <x:c r="G5" s="20" t="str">
        <x:v>签名/回滚</x:v>
      </x:c>
      <x:c r="H5" s="20" t="str">
        <x:v>设计完成</x:v>
      </x:c>
      <x:c r="I5" s="21" t="str">
        <x:v>固件流程</x:v>
      </x:c>
    </x:row>
    <x:row r="6">
      <x:c r="A6" s="19" t="str">
        <x:v>IF-005</x:v>
      </x:c>
      <x:c r="B6" s="20" t="str">
        <x:v>Web→平台</x:v>
      </x:c>
      <x:c r="C6" s="20" t="str">
        <x:v>服务健康</x:v>
      </x:c>
      <x:c r="D6" s="20" t="str">
        <x:v>GET /api/status</x:v>
      </x:c>
      <x:c r="E6" s="20" t="str">
        <x:v>offline, services, uptime</x:v>
      </x:c>
      <x:c r="F6" s="20" t="str">
        <x:v>1s</x:v>
      </x:c>
      <x:c r="G6" s="20" t="str">
        <x:v>本地只读</x:v>
      </x:c>
      <x:c r="H6" s="20" t="str">
        <x:v>原型完成</x:v>
      </x:c>
      <x:c r="I6" s="21" t="str"/>
    </x:row>
    <x:row r="7">
      <x:c r="A7" s="19" t="str">
        <x:v>IF-006</x:v>
      </x:c>
      <x:c r="B7" s="20" t="str">
        <x:v>Web→平台</x:v>
      </x:c>
      <x:c r="C7" s="20" t="str">
        <x:v>遥测</x:v>
      </x:c>
      <x:c r="D7" s="20" t="str">
        <x:v>GET /api/telemetry</x:v>
      </x:c>
      <x:c r="E7" s="20" t="str">
        <x:v>telemetry, inference, quality</x:v>
      </x:c>
      <x:c r="F7" s="20" t="str">
        <x:v>1s</x:v>
      </x:c>
      <x:c r="G7" s="20" t="str">
        <x:v>来源标识</x:v>
      </x:c>
      <x:c r="H7" s="20" t="str">
        <x:v>原型完成</x:v>
      </x:c>
      <x:c r="I7" s="21" t="str"/>
    </x:row>
    <x:row r="8">
      <x:c r="A8" s="19" t="str">
        <x:v>IF-007</x:v>
      </x:c>
      <x:c r="B8" s="20" t="str">
        <x:v>Web→平台</x:v>
      </x:c>
      <x:c r="C8" s="20" t="str">
        <x:v>任务推荐</x:v>
      </x:c>
      <x:c r="D8" s="20" t="str">
        <x:v>POST /api/tasks/recommend</x:v>
      </x:c>
      <x:c r="E8" s="20" t="str">
        <x:v>skill, zone, load</x:v>
      </x:c>
      <x:c r="F8" s="20" t="str">
        <x:v>5s</x:v>
      </x:c>
      <x:c r="G8" s="20" t="str">
        <x:v>人工确认</x:v>
      </x:c>
      <x:c r="H8" s="20" t="str">
        <x:v>原型完成</x:v>
      </x:c>
      <x:c r="I8" s="21" t="str"/>
    </x:row>
    <x:row r="9">
      <x:c r="A9" s="19" t="str">
        <x:v>IF-008</x:v>
      </x:c>
      <x:c r="B9" s="20" t="str">
        <x:v>Web→平台</x:v>
      </x:c>
      <x:c r="C9" s="20" t="str">
        <x:v>本地查询</x:v>
      </x:c>
      <x:c r="D9" s="20" t="str">
        <x:v>POST /api/query</x:v>
      </x:c>
      <x:c r="E9" s="20" t="str">
        <x:v>question</x:v>
      </x:c>
      <x:c r="F9" s="20" t="str">
        <x:v>10s</x:v>
      </x:c>
      <x:c r="G9" s="20" t="str">
        <x:v>白名单/拒答/引用</x:v>
      </x:c>
      <x:c r="H9" s="20" t="str">
        <x:v>原型完成</x:v>
      </x:c>
      <x:c r="I9" s="21" t="str"/>
    </x:row>
    <x:row r="10">
      <x:c r="A10" s="19" t="str">
        <x:v>IF-009</x:v>
      </x:c>
      <x:c r="B10" s="20" t="str">
        <x:v>Web→平台</x:v>
      </x:c>
      <x:c r="C10" s="20" t="str">
        <x:v>场景评估</x:v>
      </x:c>
      <x:c r="D10" s="20" t="str">
        <x:v>POST /api/scenario/evaluate</x:v>
      </x:c>
      <x:c r="E10" s="20" t="str">
        <x:v>评分和人数</x:v>
      </x:c>
      <x:c r="F10" s="20" t="str">
        <x:v>10s</x:v>
      </x:c>
      <x:c r="G10" s="20" t="str">
        <x:v>假设标识</x:v>
      </x:c>
      <x:c r="H10" s="20" t="str">
        <x:v>原型完成</x:v>
      </x:c>
      <x:c r="I10" s="21" t="str"/>
    </x:row>
    <x:row r="11">
      <x:c r="A11" s="22" t="str">
        <x:v>IF-010</x:v>
      </x:c>
      <x:c r="B11" s="23" t="str">
        <x:v>EWOH↔捷顺</x:v>
      </x:c>
      <x:c r="C11" s="23" t="str">
        <x:v>设备/区域/事件/任务</x:v>
      </x:c>
      <x:c r="D11" s="23" t="str">
        <x:v>OpenAPI适配层</x:v>
      </x:c>
      <x:c r="E11" s="23" t="str">
        <x:v>待映射</x:v>
      </x:c>
      <x:c r="F11" s="23" t="str">
        <x:v>待定</x:v>
      </x:c>
      <x:c r="G11" s="23" t="str">
        <x:v>最小字段/审计</x:v>
      </x:c>
      <x:c r="H11" s="23" t="str">
        <x:v>待接口</x:v>
      </x:c>
      <x:c r="I11" s="24" t="str">
        <x:v>捷顺文档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1" hidden="0" customWidth="1"/>
    <x:col min="3" max="3" width="13" hidden="0" customWidth="1"/>
    <x:col min="4" max="4" width="9" hidden="0" customWidth="1"/>
    <x:col min="5" max="5" width="28" hidden="0" customWidth="1"/>
    <x:col min="6" max="6" width="26" hidden="0" customWidth="1"/>
    <x:col min="7" max="7" width="14" hidden="0" customWidth="1"/>
    <x:col min="8" max="8" width="12" hidden="0" customWidth="1"/>
    <x:col min="9" max="9" width="14" hidden="0" customWidth="1"/>
  </x:cols>
  <x:sheetData>
    <x:row r="1">
      <x:c r="A1" s="16" t="str">
        <x:v>实体</x:v>
      </x:c>
      <x:c r="B1" s="17" t="str">
        <x:v>字段</x:v>
      </x:c>
      <x:c r="C1" s="17" t="str">
        <x:v>类型</x:v>
      </x:c>
      <x:c r="D1" s="17" t="str">
        <x:v>必填</x:v>
      </x:c>
      <x:c r="E1" s="17" t="str">
        <x:v>单位/枚举</x:v>
      </x:c>
      <x:c r="F1" s="17" t="str">
        <x:v>说明</x:v>
      </x:c>
      <x:c r="G1" s="17" t="str">
        <x:v>敏感级别</x:v>
      </x:c>
      <x:c r="H1" s="17" t="str">
        <x:v>来源</x:v>
      </x:c>
      <x:c r="I1" s="18" t="str">
        <x:v>保留建议</x:v>
      </x:c>
    </x:row>
    <x:row r="2">
      <x:c r="A2" s="19" t="str">
        <x:v>person</x:v>
      </x:c>
      <x:c r="B2" s="20" t="str">
        <x:v>person_id</x:v>
      </x:c>
      <x:c r="C2" s="20" t="str">
        <x:v>string</x:v>
      </x:c>
      <x:c r="D2" s="20" t="str">
        <x:v>是</x:v>
      </x:c>
      <x:c r="E2" s="20" t="str"/>
      <x:c r="F2" s="20" t="str">
        <x:v>匿名人员ID</x:v>
      </x:c>
      <x:c r="G2" s="20" t="str">
        <x:v>敏感</x:v>
      </x:c>
      <x:c r="H2" s="20" t="str">
        <x:v>业务</x:v>
      </x:c>
      <x:c r="I2" s="21" t="str">
        <x:v>项目期</x:v>
      </x:c>
    </x:row>
    <x:row r="3">
      <x:c r="A3" s="19" t="str">
        <x:v>person</x:v>
      </x:c>
      <x:c r="B3" s="20" t="str">
        <x:v>skills</x:v>
      </x:c>
      <x:c r="C3" s="20" t="str">
        <x:v>array</x:v>
      </x:c>
      <x:c r="D3" s="20" t="str">
        <x:v>是</x:v>
      </x:c>
      <x:c r="E3" s="20" t="str"/>
      <x:c r="F3" s="20" t="str">
        <x:v>技能列表</x:v>
      </x:c>
      <x:c r="G3" s="20" t="str">
        <x:v>内部业务</x:v>
      </x:c>
      <x:c r="H3" s="20" t="str">
        <x:v>业务</x:v>
      </x:c>
      <x:c r="I3" s="21" t="str">
        <x:v>项目期</x:v>
      </x:c>
    </x:row>
    <x:row r="4">
      <x:c r="A4" s="19" t="str">
        <x:v>person</x:v>
      </x:c>
      <x:c r="B4" s="20" t="str">
        <x:v>consent_status</x:v>
      </x:c>
      <x:c r="C4" s="20" t="str">
        <x:v>enum</x:v>
      </x:c>
      <x:c r="D4" s="20" t="str">
        <x:v>是</x:v>
      </x:c>
      <x:c r="E4" s="20" t="str">
        <x:v>unknown/authorized/revoked</x:v>
      </x:c>
      <x:c r="F4" s="20" t="str">
        <x:v>授权状态</x:v>
      </x:c>
      <x:c r="G4" s="20" t="str">
        <x:v>高度敏感</x:v>
      </x:c>
      <x:c r="H4" s="20" t="str">
        <x:v>合规</x:v>
      </x:c>
      <x:c r="I4" s="21" t="str">
        <x:v>授权期</x:v>
      </x:c>
    </x:row>
    <x:row r="5">
      <x:c r="A5" s="19" t="str">
        <x:v>device</x:v>
      </x:c>
      <x:c r="B5" s="20" t="str">
        <x:v>device_id</x:v>
      </x:c>
      <x:c r="C5" s="20" t="str">
        <x:v>string</x:v>
      </x:c>
      <x:c r="D5" s="20" t="str">
        <x:v>是</x:v>
      </x:c>
      <x:c r="E5" s="20" t="str"/>
      <x:c r="F5" s="20" t="str">
        <x:v>设备ID</x:v>
      </x:c>
      <x:c r="G5" s="20" t="str">
        <x:v>内部业务</x:v>
      </x:c>
      <x:c r="H5" s="20" t="str">
        <x:v>设备</x:v>
      </x:c>
      <x:c r="I5" s="21" t="str">
        <x:v>生命周期</x:v>
      </x:c>
    </x:row>
    <x:row r="6">
      <x:c r="A6" s="19" t="str">
        <x:v>device</x:v>
      </x:c>
      <x:c r="B6" s="20" t="str">
        <x:v>firmware_version</x:v>
      </x:c>
      <x:c r="C6" s="20" t="str">
        <x:v>string</x:v>
      </x:c>
      <x:c r="D6" s="20" t="str">
        <x:v>是</x:v>
      </x:c>
      <x:c r="E6" s="20" t="str"/>
      <x:c r="F6" s="20" t="str">
        <x:v>固件版本</x:v>
      </x:c>
      <x:c r="G6" s="20" t="str">
        <x:v>内部业务</x:v>
      </x:c>
      <x:c r="H6" s="20" t="str">
        <x:v>设备</x:v>
      </x:c>
      <x:c r="I6" s="21" t="str">
        <x:v>生命周期</x:v>
      </x:c>
    </x:row>
    <x:row r="7">
      <x:c r="A7" s="19" t="str">
        <x:v>telemetry</x:v>
      </x:c>
      <x:c r="B7" s="20" t="str">
        <x:v>timestamp</x:v>
      </x:c>
      <x:c r="C7" s="20" t="str">
        <x:v>datetime</x:v>
      </x:c>
      <x:c r="D7" s="20" t="str">
        <x:v>是</x:v>
      </x:c>
      <x:c r="E7" s="20" t="str"/>
      <x:c r="F7" s="20" t="str">
        <x:v>采集时间</x:v>
      </x:c>
      <x:c r="G7" s="20" t="str">
        <x:v>敏感</x:v>
      </x:c>
      <x:c r="H7" s="20" t="str">
        <x:v>设备</x:v>
      </x:c>
      <x:c r="I7" s="21" t="str">
        <x:v>7—30天</x:v>
      </x:c>
    </x:row>
    <x:row r="8">
      <x:c r="A8" s="19" t="str">
        <x:v>telemetry</x:v>
      </x:c>
      <x:c r="B8" s="20" t="str">
        <x:v>pitch_deg</x:v>
      </x:c>
      <x:c r="C8" s="20" t="str">
        <x:v>number</x:v>
      </x:c>
      <x:c r="D8" s="20" t="str">
        <x:v>否</x:v>
      </x:c>
      <x:c r="E8" s="20" t="str">
        <x:v>degree</x:v>
      </x:c>
      <x:c r="F8" s="20" t="str">
        <x:v>躯干俯仰角</x:v>
      </x:c>
      <x:c r="G8" s="20" t="str">
        <x:v>敏感</x:v>
      </x:c>
      <x:c r="H8" s="20" t="str">
        <x:v>设备</x:v>
      </x:c>
      <x:c r="I8" s="21" t="str">
        <x:v>7—30天</x:v>
      </x:c>
    </x:row>
    <x:row r="9">
      <x:c r="A9" s="19" t="str">
        <x:v>telemetry</x:v>
      </x:c>
      <x:c r="B9" s="20" t="str">
        <x:v>assist_level</x:v>
      </x:c>
      <x:c r="C9" s="20" t="str">
        <x:v>number</x:v>
      </x:c>
      <x:c r="D9" s="20" t="str">
        <x:v>否</x:v>
      </x:c>
      <x:c r="E9" s="20" t="str">
        <x:v>0—1</x:v>
      </x:c>
      <x:c r="F9" s="20" t="str">
        <x:v>助力状态</x:v>
      </x:c>
      <x:c r="G9" s="20" t="str">
        <x:v>内部业务</x:v>
      </x:c>
      <x:c r="H9" s="20" t="str">
        <x:v>设备</x:v>
      </x:c>
      <x:c r="I9" s="21" t="str">
        <x:v>7—30天</x:v>
      </x:c>
    </x:row>
    <x:row r="10">
      <x:c r="A10" s="19" t="str">
        <x:v>telemetry</x:v>
      </x:c>
      <x:c r="B10" s="20" t="str">
        <x:v>heart_rate</x:v>
      </x:c>
      <x:c r="C10" s="20" t="str">
        <x:v>number</x:v>
      </x:c>
      <x:c r="D10" s="20" t="str">
        <x:v>否</x:v>
      </x:c>
      <x:c r="E10" s="20" t="str">
        <x:v>bpm</x:v>
      </x:c>
      <x:c r="F10" s="20" t="str">
        <x:v>心率，默认关闭</x:v>
      </x:c>
      <x:c r="G10" s="20" t="str">
        <x:v>高度敏感</x:v>
      </x:c>
      <x:c r="H10" s="20" t="str">
        <x:v>穿戴</x:v>
      </x:c>
      <x:c r="I10" s="21" t="str">
        <x:v>最短必要</x:v>
      </x:c>
    </x:row>
    <x:row r="11">
      <x:c r="A11" s="19" t="str">
        <x:v>telemetry</x:v>
      </x:c>
      <x:c r="B11" s="20" t="str">
        <x:v>zone_id</x:v>
      </x:c>
      <x:c r="C11" s="20" t="str">
        <x:v>string</x:v>
      </x:c>
      <x:c r="D11" s="20" t="str">
        <x:v>否</x:v>
      </x:c>
      <x:c r="E11" s="20" t="str"/>
      <x:c r="F11" s="20" t="str">
        <x:v>所在区域</x:v>
      </x:c>
      <x:c r="G11" s="20" t="str">
        <x:v>敏感</x:v>
      </x:c>
      <x:c r="H11" s="20" t="str">
        <x:v>定位</x:v>
      </x:c>
      <x:c r="I11" s="21" t="str">
        <x:v>短期</x:v>
      </x:c>
    </x:row>
    <x:row r="12">
      <x:c r="A12" s="19" t="str">
        <x:v>inference</x:v>
      </x:c>
      <x:c r="B12" s="20" t="str">
        <x:v>label</x:v>
      </x:c>
      <x:c r="C12" s="20" t="str">
        <x:v>enum</x:v>
      </x:c>
      <x:c r="D12" s="20" t="str">
        <x:v>是</x:v>
      </x:c>
      <x:c r="E12" s="20" t="str">
        <x:v>stand/walk/bend/lift/unknown</x:v>
      </x:c>
      <x:c r="F12" s="20" t="str">
        <x:v>动作标签</x:v>
      </x:c>
      <x:c r="G12" s="20" t="str">
        <x:v>敏感</x:v>
      </x:c>
      <x:c r="H12" s="20" t="str">
        <x:v>算法</x:v>
      </x:c>
      <x:c r="I12" s="21" t="str">
        <x:v>随事件</x:v>
      </x:c>
    </x:row>
    <x:row r="13">
      <x:c r="A13" s="19" t="str">
        <x:v>inference</x:v>
      </x:c>
      <x:c r="B13" s="20" t="str">
        <x:v>confidence</x:v>
      </x:c>
      <x:c r="C13" s="20" t="str">
        <x:v>number</x:v>
      </x:c>
      <x:c r="D13" s="20" t="str">
        <x:v>否</x:v>
      </x:c>
      <x:c r="E13" s="20" t="str">
        <x:v>0—1</x:v>
      </x:c>
      <x:c r="F13" s="20" t="str">
        <x:v>模型置信度</x:v>
      </x:c>
      <x:c r="G13" s="20" t="str">
        <x:v>内部业务</x:v>
      </x:c>
      <x:c r="H13" s="20" t="str">
        <x:v>算法</x:v>
      </x:c>
      <x:c r="I13" s="21" t="str">
        <x:v>随事件</x:v>
      </x:c>
    </x:row>
    <x:row r="14">
      <x:c r="A14" s="19" t="str">
        <x:v>risk_event</x:v>
      </x:c>
      <x:c r="B14" s="20" t="str">
        <x:v>event_code</x:v>
      </x:c>
      <x:c r="C14" s="20" t="str">
        <x:v>string</x:v>
      </x:c>
      <x:c r="D14" s="20" t="str">
        <x:v>是</x:v>
      </x:c>
      <x:c r="E14" s="20" t="str"/>
      <x:c r="F14" s="20" t="str">
        <x:v>事件代码</x:v>
      </x:c>
      <x:c r="G14" s="20" t="str">
        <x:v>敏感</x:v>
      </x:c>
      <x:c r="H14" s="20" t="str">
        <x:v>规则/算法</x:v>
      </x:c>
      <x:c r="I14" s="21" t="str">
        <x:v>审计期</x:v>
      </x:c>
    </x:row>
    <x:row r="15">
      <x:c r="A15" s="19" t="str">
        <x:v>risk_event</x:v>
      </x:c>
      <x:c r="B15" s="20" t="str">
        <x:v>severity</x:v>
      </x:c>
      <x:c r="C15" s="20" t="str">
        <x:v>enum</x:v>
      </x:c>
      <x:c r="D15" s="20" t="str">
        <x:v>是</x:v>
      </x:c>
      <x:c r="E15" s="20" t="str">
        <x:v>L0—L3</x:v>
      </x:c>
      <x:c r="F15" s="20" t="str">
        <x:v>风险等级</x:v>
      </x:c>
      <x:c r="G15" s="20" t="str">
        <x:v>敏感</x:v>
      </x:c>
      <x:c r="H15" s="20" t="str">
        <x:v>规则/算法</x:v>
      </x:c>
      <x:c r="I15" s="21" t="str">
        <x:v>审计期</x:v>
      </x:c>
    </x:row>
    <x:row r="16">
      <x:c r="A16" s="22" t="str">
        <x:v>risk_event</x:v>
      </x:c>
      <x:c r="B16" s="23" t="str">
        <x:v>evidence</x:v>
      </x:c>
      <x:c r="C16" s="23" t="str">
        <x:v>object</x:v>
      </x:c>
      <x:c r="D16" s="23" t="str">
        <x:v>是</x:v>
      </x:c>
      <x:c r="E16" s="23" t="str"/>
      <x:c r="F16" s="23" t="str">
        <x:v>证据窗口和记录引用</x:v>
      </x:c>
      <x:c r="G16" s="23" t="str">
        <x:v>敏感</x:v>
      </x:c>
      <x:c r="H16" s="23" t="str">
        <x:v>平台</x:v>
      </x:c>
      <x:c r="I16" s="24" t="str">
        <x:v>审计期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15" hidden="0" customWidth="1"/>
    <x:col min="4" max="4" width="23" hidden="0" customWidth="1"/>
    <x:col min="5" max="5" width="30" hidden="0" customWidth="1"/>
    <x:col min="6" max="6" width="32" hidden="0" customWidth="1"/>
    <x:col min="7" max="7" width="9" hidden="0" customWidth="1"/>
    <x:col min="8" max="8" width="13" hidden="0" customWidth="1"/>
    <x:col min="9" max="9" width="15" hidden="0" customWidth="1"/>
    <x:col min="10" max="10" width="12" hidden="0" customWidth="1"/>
  </x:cols>
  <x:sheetData>
    <x:row r="1">
      <x:c r="A1" s="16" t="str">
        <x:v>用例ID</x:v>
      </x:c>
      <x:c r="B1" s="17" t="str">
        <x:v>层级</x:v>
      </x:c>
      <x:c r="C1" s="17" t="str">
        <x:v>对象</x:v>
      </x:c>
      <x:c r="D1" s="17" t="str">
        <x:v>前置条件</x:v>
      </x:c>
      <x:c r="E1" s="17" t="str">
        <x:v>步骤</x:v>
      </x:c>
      <x:c r="F1" s="17" t="str">
        <x:v>期望结果</x:v>
      </x:c>
      <x:c r="G1" s="17" t="str">
        <x:v>优先级</x:v>
      </x:c>
      <x:c r="H1" s="17" t="str">
        <x:v>状态</x:v>
      </x:c>
      <x:c r="I1" s="17" t="str">
        <x:v>责任人</x:v>
      </x:c>
      <x:c r="J1" s="18" t="str">
        <x:v>缺陷ID</x:v>
      </x:c>
    </x:row>
    <x:row r="2">
      <x:c r="A2" s="19" t="str">
        <x:v>TC-001</x:v>
      </x:c>
      <x:c r="B2" s="20" t="str">
        <x:v>设备集成</x:v>
      </x:c>
      <x:c r="C2" s="20" t="str">
        <x:v>上线</x:v>
      </x:c>
      <x:c r="D2" s="20" t="str">
        <x:v>模拟器或真机可用</x:v>
      </x:c>
      <x:c r="E2" s="20" t="str">
        <x:v>启动设备并观察页面</x:v>
      </x:c>
      <x:c r="F2" s="20" t="str">
        <x:v>10秒内显示在线和版本</x:v>
      </x:c>
      <x:c r="G2" s="20" t="str">
        <x:v>P0</x:v>
      </x:c>
      <x:c r="H2" s="20" t="str">
        <x:v>待执行</x:v>
      </x:c>
      <x:c r="I2" s="20" t="str">
        <x:v>测试/设备</x:v>
      </x:c>
      <x:c r="J2" s="21" t="str"/>
    </x:row>
    <x:row r="3">
      <x:c r="A3" s="19" t="str">
        <x:v>TC-002</x:v>
      </x:c>
      <x:c r="B3" s="20" t="str">
        <x:v>设备集成</x:v>
      </x:c>
      <x:c r="C3" s="20" t="str">
        <x:v>断线重连</x:v>
      </x:c>
      <x:c r="D3" s="20" t="str">
        <x:v>设备在线</x:v>
      </x:c>
      <x:c r="E3" s="20" t="str">
        <x:v>停止数据10秒再恢复</x:v>
      </x:c>
      <x:c r="F3" s="20" t="str">
        <x:v>离线标识并在60秒内恢复</x:v>
      </x:c>
      <x:c r="G3" s="20" t="str">
        <x:v>P0</x:v>
      </x:c>
      <x:c r="H3" s="20" t="str">
        <x:v>待执行</x:v>
      </x:c>
      <x:c r="I3" s="20" t="str">
        <x:v>测试/设备</x:v>
      </x:c>
      <x:c r="J3" s="21" t="str"/>
    </x:row>
    <x:row r="4">
      <x:c r="A4" s="19" t="str">
        <x:v>TC-003</x:v>
      </x:c>
      <x:c r="B4" s="20" t="str">
        <x:v>数据质量</x:v>
      </x:c>
      <x:c r="C4" s="20" t="str">
        <x:v>缺失字段</x:v>
      </x:c>
      <x:c r="D4" s="20" t="str">
        <x:v>可注入异常</x:v>
      </x:c>
      <x:c r="E4" s="20" t="str">
        <x:v>删除姿态字段</x:v>
      </x:c>
      <x:c r="F4" s="20" t="str">
        <x:v>quality=degraded且推理unknown</x:v>
      </x:c>
      <x:c r="G4" s="20" t="str">
        <x:v>P0</x:v>
      </x:c>
      <x:c r="H4" s="20" t="str">
        <x:v>待执行</x:v>
      </x:c>
      <x:c r="I4" s="20" t="str">
        <x:v>测试/算法</x:v>
      </x:c>
      <x:c r="J4" s="21" t="str"/>
    </x:row>
    <x:row r="5">
      <x:c r="A5" s="19" t="str">
        <x:v>TC-004</x:v>
      </x:c>
      <x:c r="B5" s="20" t="str">
        <x:v>算法</x:v>
      </x:c>
      <x:c r="C5" s="20" t="str">
        <x:v>动作识别</x:v>
      </x:c>
      <x:c r="D5" s="20" t="str">
        <x:v>受控数据</x:v>
      </x:c>
      <x:c r="E5" s="20" t="str">
        <x:v>播放站立/行走/弯腰/搬举</x:v>
      </x:c>
      <x:c r="F5" s="20" t="str">
        <x:v>输出对应标签、依据和版本</x:v>
      </x:c>
      <x:c r="G5" s="20" t="str">
        <x:v>P0</x:v>
      </x:c>
      <x:c r="H5" s="20" t="str">
        <x:v>待执行</x:v>
      </x:c>
      <x:c r="I5" s="20" t="str">
        <x:v>算法/测试</x:v>
      </x:c>
      <x:c r="J5" s="21" t="str"/>
    </x:row>
    <x:row r="6">
      <x:c r="A6" s="19" t="str">
        <x:v>TC-005</x:v>
      </x:c>
      <x:c r="B6" s="20" t="str">
        <x:v>事件</x:v>
      </x:c>
      <x:c r="C6" s="20" t="str">
        <x:v>连续高负荷</x:v>
      </x:c>
      <x:c r="D6" s="20" t="str">
        <x:v>高负荷模拟</x:v>
      </x:c>
      <x:c r="E6" s="20" t="str">
        <x:v>保持high_load至阈值</x:v>
      </x:c>
      <x:c r="F6" s="20" t="str">
        <x:v>生成LOAD_CONTINUOUS和证据窗</x:v>
      </x:c>
      <x:c r="G6" s="20" t="str">
        <x:v>P0</x:v>
      </x:c>
      <x:c r="H6" s="20" t="str">
        <x:v>待执行</x:v>
      </x:c>
      <x:c r="I6" s="20" t="str">
        <x:v>算法/后端</x:v>
      </x:c>
      <x:c r="J6" s="21" t="str"/>
    </x:row>
    <x:row r="7">
      <x:c r="A7" s="19" t="str">
        <x:v>TC-006</x:v>
      </x:c>
      <x:c r="B7" s="20" t="str">
        <x:v>业务</x:v>
      </x:c>
      <x:c r="C7" s="20" t="str">
        <x:v>任务推荐</x:v>
      </x:c>
      <x:c r="D7" s="20" t="str">
        <x:v>人员主数据存在</x:v>
      </x:c>
      <x:c r="E7" s="20" t="str">
        <x:v>提交搬运任务</x:v>
      </x:c>
      <x:c r="F7" s="20" t="str">
        <x:v>返回候选及分项得分</x:v>
      </x:c>
      <x:c r="G7" s="20" t="str">
        <x:v>P0</x:v>
      </x:c>
      <x:c r="H7" s="20" t="str">
        <x:v>待执行</x:v>
      </x:c>
      <x:c r="I7" s="20" t="str">
        <x:v>产品/测试</x:v>
      </x:c>
      <x:c r="J7" s="21" t="str"/>
    </x:row>
    <x:row r="8">
      <x:c r="A8" s="19" t="str">
        <x:v>TC-007</x:v>
      </x:c>
      <x:c r="B8" s="20" t="str">
        <x:v>助手</x:v>
      </x:c>
      <x:c r="C8" s="20" t="str">
        <x:v>证据查询</x:v>
      </x:c>
      <x:c r="D8" s="20" t="str">
        <x:v>已有遥测</x:v>
      </x:c>
      <x:c r="E8" s="20" t="str">
        <x:v>询问负荷最高人员</x:v>
      </x:c>
      <x:c r="F8" s="20" t="str">
        <x:v>回答含记录引用</x:v>
      </x:c>
      <x:c r="G8" s="20" t="str">
        <x:v>P0</x:v>
      </x:c>
      <x:c r="H8" s="20" t="str">
        <x:v>待执行</x:v>
      </x:c>
      <x:c r="I8" s="20" t="str">
        <x:v>算法/测试</x:v>
      </x:c>
      <x:c r="J8" s="21" t="str"/>
    </x:row>
    <x:row r="9">
      <x:c r="A9" s="19" t="str">
        <x:v>TC-008</x:v>
      </x:c>
      <x:c r="B9" s="20" t="str">
        <x:v>助手</x:v>
      </x:c>
      <x:c r="C9" s="20" t="str">
        <x:v>越界拒答</x:v>
      </x:c>
      <x:c r="D9" s="20" t="str">
        <x:v>系统可用</x:v>
      </x:c>
      <x:c r="E9" s="20" t="str">
        <x:v>询问医学诊断或降薪</x:v>
      </x:c>
      <x:c r="F9" s="20" t="str">
        <x:v>明确拒答并说明边界</x:v>
      </x:c>
      <x:c r="G9" s="20" t="str">
        <x:v>P0</x:v>
      </x:c>
      <x:c r="H9" s="20" t="str">
        <x:v>待执行</x:v>
      </x:c>
      <x:c r="I9" s="20" t="str">
        <x:v>合规/测试</x:v>
      </x:c>
      <x:c r="J9" s="21" t="str"/>
    </x:row>
    <x:row r="10">
      <x:c r="A10" s="19" t="str">
        <x:v>TC-009</x:v>
      </x:c>
      <x:c r="B10" s="20" t="str">
        <x:v>离线</x:v>
      </x:c>
      <x:c r="C10" s="20" t="str">
        <x:v>断公网</x:v>
      </x:c>
      <x:c r="D10" s="20" t="str">
        <x:v>系统启动</x:v>
      </x:c>
      <x:c r="E10" s="20" t="str">
        <x:v>断开公网完成六步脚本</x:v>
      </x:c>
      <x:c r="F10" s="20" t="str">
        <x:v>功能持续可用</x:v>
      </x:c>
      <x:c r="G10" s="20" t="str">
        <x:v>P0</x:v>
      </x:c>
      <x:c r="H10" s="20" t="str">
        <x:v>待执行</x:v>
      </x:c>
      <x:c r="I10" s="20" t="str">
        <x:v>交付</x:v>
      </x:c>
      <x:c r="J10" s="21" t="str"/>
    </x:row>
    <x:row r="11">
      <x:c r="A11" s="19" t="str">
        <x:v>TC-010</x:v>
      </x:c>
      <x:c r="B11" s="20" t="str">
        <x:v>恢复</x:v>
      </x:c>
      <x:c r="C11" s="20" t="str">
        <x:v>一键重置</x:v>
      </x:c>
      <x:c r="D11" s="20" t="str">
        <x:v>演示已运行</x:v>
      </x:c>
      <x:c r="E11" s="20" t="str">
        <x:v>点击重置</x:v>
      </x:c>
      <x:c r="F11" s="20" t="str">
        <x:v>2分钟内恢复预置状态</x:v>
      </x:c>
      <x:c r="G11" s="20" t="str">
        <x:v>P0</x:v>
      </x:c>
      <x:c r="H11" s="20" t="str">
        <x:v>待执行</x:v>
      </x:c>
      <x:c r="I11" s="20" t="str">
        <x:v>交付</x:v>
      </x:c>
      <x:c r="J11" s="21" t="str"/>
    </x:row>
    <x:row r="12">
      <x:c r="A12" s="19" t="str">
        <x:v>TC-011</x:v>
      </x:c>
      <x:c r="B12" s="20" t="str">
        <x:v>场景评估</x:v>
      </x:c>
      <x:c r="C12" s="20" t="str">
        <x:v>评估报告</x:v>
      </x:c>
      <x:c r="D12" s="20" t="str">
        <x:v>输入参数</x:v>
      </x:c>
      <x:c r="E12" s="20" t="str">
        <x:v>点击生成并下载</x:v>
      </x:c>
      <x:c r="F12" s="20" t="str">
        <x:v>产生适配度、配置、KPI和前置条件</x:v>
      </x:c>
      <x:c r="G12" s="20" t="str">
        <x:v>P0</x:v>
      </x:c>
      <x:c r="H12" s="20" t="str">
        <x:v>待执行</x:v>
      </x:c>
      <x:c r="I12" s="20" t="str">
        <x:v>产品/测试</x:v>
      </x:c>
      <x:c r="J12" s="21" t="str"/>
    </x:row>
    <x:row r="13">
      <x:c r="A13" s="22" t="str">
        <x:v>TC-012</x:v>
      </x:c>
      <x:c r="B13" s="23" t="str">
        <x:v>真实性</x:v>
      </x:c>
      <x:c r="C13" s="23" t="str">
        <x:v>来源标识</x:v>
      </x:c>
      <x:c r="D13" s="23" t="str">
        <x:v>模拟数据</x:v>
      </x:c>
      <x:c r="E13" s="23" t="str">
        <x:v>检查所有页面和导出</x:v>
      </x:c>
      <x:c r="F13" s="23" t="str">
        <x:v>SIMULATED标签不可隐藏</x:v>
      </x:c>
      <x:c r="G13" s="23" t="str">
        <x:v>P0</x:v>
      </x:c>
      <x:c r="H13" s="23" t="str">
        <x:v>待执行</x:v>
      </x:c>
      <x:c r="I13" s="23" t="str">
        <x:v>合规/测试</x:v>
      </x:c>
      <x:c r="J13" s="24" t="str"/>
    </x:row>
  </x:sheetData>
  <x:conditionalFormatting sqref="H2:H13">
    <x:cfRule type="expression" dxfId="3" priority="1">
      <x:formula>H2="失败"</x:formula>
    </x:cfRule>
  </x:conditionalFormatting>
  <x:dataValidations count="1">
    <x:dataValidation type="list" sqref="H2:H200">
      <x:formula1>"待执行,通过,失败,阻塞,不适用"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0" hidden="0" customWidth="1"/>
    <x:col min="4" max="4" width="10" hidden="0" customWidth="1"/>
    <x:col min="5" max="5" width="9" hidden="0" customWidth="1"/>
    <x:col min="6" max="6" width="38" hidden="0" customWidth="1"/>
    <x:col min="7" max="7" width="25" hidden="0" customWidth="1"/>
    <x:col min="8" max="8" width="16" hidden="0" customWidth="1"/>
    <x:col min="9" max="9" width="13" hidden="0" customWidth="1"/>
    <x:col min="10" max="10" width="12" hidden="0" customWidth="1"/>
    <x:col min="11" max="11" width="10" hidden="0" customWidth="1"/>
  </x:cols>
  <x:sheetData>
    <x:row r="1">
      <x:c r="A1" s="16" t="str">
        <x:v>风险ID</x:v>
      </x:c>
      <x:c r="B1" s="17" t="str">
        <x:v>风险/依赖</x:v>
      </x:c>
      <x:c r="C1" s="17" t="str">
        <x:v>概率</x:v>
      </x:c>
      <x:c r="D1" s="17" t="str">
        <x:v>影响</x:v>
      </x:c>
      <x:c r="E1" s="17" t="str">
        <x:v>等级</x:v>
      </x:c>
      <x:c r="F1" s="17" t="str">
        <x:v>应对措施</x:v>
      </x:c>
      <x:c r="G1" s="17" t="str">
        <x:v>触发条件</x:v>
      </x:c>
      <x:c r="H1" s="17" t="str">
        <x:v>责任人</x:v>
      </x:c>
      <x:c r="I1" s="17" t="str">
        <x:v>状态</x:v>
      </x:c>
      <x:c r="J1" s="17" t="str">
        <x:v>目标日期</x:v>
      </x:c>
      <x:c r="K1" s="18" t="str">
        <x:v>红色标记</x:v>
      </x:c>
    </x:row>
    <x:row r="2">
      <x:c r="A2" s="19" t="str">
        <x:v>RSK-001</x:v>
      </x:c>
      <x:c r="B2" s="20" t="str">
        <x:v>真实设备协议未提供</x:v>
      </x:c>
      <x:c r="C2" s="20" t="str">
        <x:v>高</x:v>
      </x:c>
      <x:c r="D2" s="20" t="str">
        <x:v>高</x:v>
      </x:c>
      <x:c r="E2" s="20" t="str">
        <x:v>红</x:v>
      </x:c>
      <x:c r="F2" s="20" t="str">
        <x:v>使用标准适配器与模拟器；协议到位后替换</x:v>
      </x:c>
      <x:c r="G2" s="20" t="str">
        <x:v>W2结束仍无协议</x:v>
      </x:c>
      <x:c r="H2" s="20" t="str">
        <x:v>设备负责人</x:v>
      </x:c>
      <x:c r="I2" s="20" t="str">
        <x:v>阻塞</x:v>
      </x:c>
      <x:c r="J2" s="34" t="n">
        <x:v>46242</x:v>
      </x:c>
      <x:c r="K2" s="21" t="n">
        <x:v>1</x:v>
      </x:c>
    </x:row>
    <x:row r="3">
      <x:c r="A3" s="19" t="str">
        <x:v>RSK-002</x:v>
      </x:c>
      <x:c r="B3" s="20" t="str">
        <x:v>真实受控数据不足</x:v>
      </x:c>
      <x:c r="C3" s="20" t="str">
        <x:v>高</x:v>
      </x:c>
      <x:c r="D3" s="20" t="str">
        <x:v>高</x:v>
      </x:c>
      <x:c r="E3" s="20" t="str">
        <x:v>红</x:v>
      </x:c>
      <x:c r="F3" s="20" t="str">
        <x:v>规则兜底；启动标准采集；按人员划分测试</x:v>
      </x:c>
      <x:c r="G3" s="20" t="str">
        <x:v>W4无法采集</x:v>
      </x:c>
      <x:c r="H3" s="20" t="str">
        <x:v>算法负责人</x:v>
      </x:c>
      <x:c r="I3" s="20" t="str">
        <x:v>阻塞</x:v>
      </x:c>
      <x:c r="J3" s="34" t="n">
        <x:v>46256</x:v>
      </x:c>
      <x:c r="K3" s="21" t="n">
        <x:v>1</x:v>
      </x:c>
    </x:row>
    <x:row r="4">
      <x:c r="A4" s="19" t="str">
        <x:v>RSK-003</x:v>
      </x:c>
      <x:c r="B4" s="20" t="str">
        <x:v>设备安全可靠性未验证</x:v>
      </x:c>
      <x:c r="C4" s="20" t="str">
        <x:v>中</x:v>
      </x:c>
      <x:c r="D4" s="20" t="str">
        <x:v>高</x:v>
      </x:c>
      <x:c r="E4" s="20" t="str">
        <x:v>红</x:v>
      </x:c>
      <x:c r="F4" s="20" t="str">
        <x:v>仅轻负荷演示；标杆前完成安全可靠性测试</x:v>
      </x:c>
      <x:c r="G4" s="20" t="str">
        <x:v>计划进入客户现场</x:v>
      </x:c>
      <x:c r="H4" s="20" t="str">
        <x:v>技术/安全</x:v>
      </x:c>
      <x:c r="I4" s="20" t="str">
        <x:v>进行中</x:v>
      </x:c>
      <x:c r="J4" s="34" t="n">
        <x:v>46295</x:v>
      </x:c>
      <x:c r="K4" s="21" t="n">
        <x:v>1</x:v>
      </x:c>
    </x:row>
    <x:row r="5">
      <x:c r="A5" s="19" t="str">
        <x:v>RSK-004</x:v>
      </x:c>
      <x:c r="B5" s="20" t="str">
        <x:v>捷顺正式接口未知</x:v>
      </x:c>
      <x:c r="C5" s="20" t="str">
        <x:v>高</x:v>
      </x:c>
      <x:c r="D5" s="20" t="str">
        <x:v>中</x:v>
      </x:c>
      <x:c r="E5" s="20" t="str">
        <x:v>黄</x:v>
      </x:c>
      <x:c r="F5" s="20" t="str">
        <x:v>OpenAPI和适配层；获取文档后映射</x:v>
      </x:c>
      <x:c r="G5" s="20" t="str">
        <x:v>启动正式联调</x:v>
      </x:c>
      <x:c r="H5" s="20" t="str">
        <x:v>架构负责人</x:v>
      </x:c>
      <x:c r="I5" s="20" t="str">
        <x:v>待外部</x:v>
      </x:c>
      <x:c r="J5" s="34" t="n">
        <x:v>46280</x:v>
      </x:c>
      <x:c r="K5" s="21" t="n">
        <x:v>0</x:v>
      </x:c>
    </x:row>
    <x:row r="6">
      <x:c r="A6" s="19" t="str">
        <x:v>RSK-005</x:v>
      </x:c>
      <x:c r="B6" s="20" t="str">
        <x:v>本地助手资源不足</x:v>
      </x:c>
      <x:c r="C6" s="20" t="str">
        <x:v>中</x:v>
      </x:c>
      <x:c r="D6" s="20" t="str">
        <x:v>中</x:v>
      </x:c>
      <x:c r="E6" s="20" t="str">
        <x:v>黄</x:v>
      </x:c>
      <x:c r="F6" s="20" t="str">
        <x:v>结构化白名单查询作为P0兜底</x:v>
      </x:c>
      <x:c r="G6" s="20" t="str">
        <x:v>延迟或模型启动失败</x:v>
      </x:c>
      <x:c r="H6" s="20" t="str">
        <x:v>算法/架构</x:v>
      </x:c>
      <x:c r="I6" s="20" t="str">
        <x:v>已缓解</x:v>
      </x:c>
      <x:c r="J6" s="34" t="n">
        <x:v>46284</x:v>
      </x:c>
      <x:c r="K6" s="21" t="n">
        <x:v>0</x:v>
      </x:c>
    </x:row>
    <x:row r="7">
      <x:c r="A7" s="19" t="str">
        <x:v>RSK-006</x:v>
      </x:c>
      <x:c r="B7" s="20" t="str">
        <x:v>对外口径越界</x:v>
      </x:c>
      <x:c r="C7" s="20" t="str">
        <x:v>中</x:v>
      </x:c>
      <x:c r="D7" s="20" t="str">
        <x:v>高</x:v>
      </x:c>
      <x:c r="E7" s="20" t="str">
        <x:v>红</x:v>
      </x:c>
      <x:c r="F7" s="20" t="str">
        <x:v>来源标识、可讲/不可讲清单、合规审查</x:v>
      </x:c>
      <x:c r="G7" s="20" t="str">
        <x:v>任何外部演示</x:v>
      </x:c>
      <x:c r="H7" s="20" t="str">
        <x:v>决策人/合规</x:v>
      </x:c>
      <x:c r="I7" s="20" t="str">
        <x:v>进行中</x:v>
      </x:c>
      <x:c r="J7" s="34" t="n">
        <x:v>46299</x:v>
      </x:c>
      <x:c r="K7" s="21" t="n">
        <x:v>1</x:v>
      </x:c>
    </x:row>
    <x:row r="8">
      <x:c r="A8" s="22" t="str">
        <x:v>RSK-007</x:v>
      </x:c>
      <x:c r="B8" s="23" t="str">
        <x:v>演示现场网络或硬件故障</x:v>
      </x:c>
      <x:c r="C8" s="23" t="str">
        <x:v>中</x:v>
      </x:c>
      <x:c r="D8" s="23" t="str">
        <x:v>中</x:v>
      </x:c>
      <x:c r="E8" s="23" t="str">
        <x:v>黄</x:v>
      </x:c>
      <x:c r="F8" s="23" t="str">
        <x:v>自带路由器、备机、预置回放、一键重置</x:v>
      </x:c>
      <x:c r="G8" s="23" t="str">
        <x:v>演示前检查失败</x:v>
      </x:c>
      <x:c r="H8" s="23" t="str">
        <x:v>交付</x:v>
      </x:c>
      <x:c r="I8" s="23" t="str">
        <x:v>已缓解</x:v>
      </x:c>
      <x:c r="J8" s="35" t="n">
        <x:v>46299</x:v>
      </x:c>
      <x:c r="K8" s="24" t="n">
        <x:v>0</x:v>
      </x:c>
    </x:row>
  </x:sheetData>
  <x:conditionalFormatting sqref="E2:E8">
    <x:cfRule type="expression" dxfId="4" priority="1">
      <x:formula>E2="红"</x:formula>
    </x:cfRule>
    <x:cfRule type="expression" dxfId="5" priority="2">
      <x:formula>E2="黄"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4" hidden="0" customWidth="1"/>
    <x:col min="4" max="4" width="10" hidden="0" customWidth="1"/>
    <x:col min="5" max="5" width="10" hidden="0" customWidth="1"/>
    <x:col min="6" max="6" width="15" hidden="0" customWidth="1"/>
    <x:col min="7" max="7" width="15" hidden="0" customWidth="1"/>
    <x:col min="8" max="8" width="13" hidden="0" customWidth="1"/>
    <x:col min="9" max="9" width="12" hidden="0" customWidth="1"/>
    <x:col min="10" max="10" width="18" hidden="0" customWidth="1"/>
  </x:cols>
  <x:sheetData>
    <x:row r="1">
      <x:c r="A1" s="16" t="str">
        <x:v>BOM ID</x:v>
      </x:c>
      <x:c r="B1" s="17" t="str">
        <x:v>类别</x:v>
      </x:c>
      <x:c r="C1" s="17" t="str">
        <x:v>建议配置</x:v>
      </x:c>
      <x:c r="D1" s="17" t="str">
        <x:v>数量</x:v>
      </x:c>
      <x:c r="E1" s="17" t="str">
        <x:v>备份数量</x:v>
      </x:c>
      <x:c r="F1" s="17" t="str">
        <x:v>单价预算（元）</x:v>
      </x:c>
      <x:c r="G1" s="17" t="str">
        <x:v>小计预算（元）</x:v>
      </x:c>
      <x:c r="H1" s="17" t="str">
        <x:v>采购状态</x:v>
      </x:c>
      <x:c r="I1" s="17" t="str">
        <x:v>负责人</x:v>
      </x:c>
      <x:c r="J1" s="18" t="str">
        <x:v>备注</x:v>
      </x:c>
    </x:row>
    <x:row r="2">
      <x:c r="A2" s="19" t="str">
        <x:v>BOM-001</x:v>
      </x:c>
      <x:c r="B2" s="20" t="str">
        <x:v>边缘主机</x:v>
      </x:c>
      <x:c r="C2" s="20" t="str">
        <x:v>x86 8核/32GB/1TB SSD，可选GPU/NPU</x:v>
      </x:c>
      <x:c r="D2" s="20" t="n">
        <x:v>1</x:v>
      </x:c>
      <x:c r="E2" s="20" t="n">
        <x:v>1</x:v>
      </x:c>
      <x:c r="F2" s="42" t="n">
        <x:v>18000</x:v>
      </x:c>
      <x:c r="G2" s="42" t="n">
        <x:f>D2*F2+E2*F2</x:f>
        <x:v>36000</x:v>
      </x:c>
      <x:c r="H2" s="20" t="str">
        <x:v>待采购</x:v>
      </x:c>
      <x:c r="I2" s="20" t="str">
        <x:v>技术</x:v>
      </x:c>
      <x:c r="J2" s="21" t="str">
        <x:v>V0.5不强制GPU</x:v>
      </x:c>
    </x:row>
    <x:row r="3">
      <x:c r="A3" s="19" t="str">
        <x:v>BOM-002</x:v>
      </x:c>
      <x:c r="B3" s="20" t="str">
        <x:v>外骨骼/传感器</x:v>
      </x:c>
      <x:c r="C3" s="20" t="str">
        <x:v>真实设备至少1套</x:v>
      </x:c>
      <x:c r="D3" s="20" t="n">
        <x:v>1</x:v>
      </x:c>
      <x:c r="E3" s="20" t="n">
        <x:v>1</x:v>
      </x:c>
      <x:c r="F3" s="42" t="n">
        <x:v>10000</x:v>
      </x:c>
      <x:c r="G3" s="42" t="n">
        <x:f>D3*F3+E3*F3</x:f>
        <x:v>20000</x:v>
      </x:c>
      <x:c r="H3" s="20" t="str">
        <x:v>待确认</x:v>
      </x:c>
      <x:c r="I3" s="20" t="str">
        <x:v>设备</x:v>
      </x:c>
      <x:c r="J3" s="21" t="str">
        <x:v>以真实BOM为准</x:v>
      </x:c>
    </x:row>
    <x:row r="4">
      <x:c r="A4" s="19" t="str">
        <x:v>BOM-003</x:v>
      </x:c>
      <x:c r="B4" s="20" t="str">
        <x:v>局域网路由器</x:v>
      </x:c>
      <x:c r="C4" s="20" t="str">
        <x:v>离线双频路由器</x:v>
      </x:c>
      <x:c r="D4" s="20" t="n">
        <x:v>1</x:v>
      </x:c>
      <x:c r="E4" s="20" t="n">
        <x:v>1</x:v>
      </x:c>
      <x:c r="F4" s="42" t="n">
        <x:v>800</x:v>
      </x:c>
      <x:c r="G4" s="42" t="n">
        <x:f>D4*F4+E4*F4</x:f>
        <x:v>1600</x:v>
      </x:c>
      <x:c r="H4" s="20" t="str">
        <x:v>待采购</x:v>
      </x:c>
      <x:c r="I4" s="20" t="str">
        <x:v>交付</x:v>
      </x:c>
      <x:c r="J4" s="21" t="str"/>
    </x:row>
    <x:row r="5">
      <x:c r="A5" s="19" t="str">
        <x:v>BOM-004</x:v>
      </x:c>
      <x:c r="B5" s="20" t="str">
        <x:v>显示终端</x:v>
      </x:c>
      <x:c r="C5" s="20" t="str">
        <x:v>笔记本/触控屏</x:v>
      </x:c>
      <x:c r="D5" s="20" t="n">
        <x:v>1</x:v>
      </x:c>
      <x:c r="E5" s="20" t="n">
        <x:v>0</x:v>
      </x:c>
      <x:c r="F5" s="42" t="n">
        <x:v>8000</x:v>
      </x:c>
      <x:c r="G5" s="42" t="n">
        <x:f>D5*F5+E5*F5</x:f>
        <x:v>8000</x:v>
      </x:c>
      <x:c r="H5" s="20" t="str">
        <x:v>可复用</x:v>
      </x:c>
      <x:c r="I5" s="20" t="str">
        <x:v>交付</x:v>
      </x:c>
      <x:c r="J5" s="21" t="str"/>
    </x:row>
    <x:row r="6">
      <x:c r="A6" s="19" t="str">
        <x:v>BOM-005</x:v>
      </x:c>
      <x:c r="B6" s="20" t="str">
        <x:v>电源与UPS</x:v>
      </x:c>
      <x:c r="C6" s="20" t="str">
        <x:v>插排、适配器、小型UPS</x:v>
      </x:c>
      <x:c r="D6" s="20" t="n">
        <x:v>1</x:v>
      </x:c>
      <x:c r="E6" s="20" t="n">
        <x:v>0</x:v>
      </x:c>
      <x:c r="F6" s="42" t="n">
        <x:v>2500</x:v>
      </x:c>
      <x:c r="G6" s="42" t="n">
        <x:f>D6*F6+E6*F6</x:f>
        <x:v>2500</x:v>
      </x:c>
      <x:c r="H6" s="20" t="str">
        <x:v>待采购</x:v>
      </x:c>
      <x:c r="I6" s="20" t="str">
        <x:v>交付</x:v>
      </x:c>
      <x:c r="J6" s="21" t="str"/>
    </x:row>
    <x:row r="7">
      <x:c r="A7" s="19" t="str">
        <x:v>BOM-006</x:v>
      </x:c>
      <x:c r="B7" s="20" t="str">
        <x:v>演示道具</x:v>
      </x:c>
      <x:c r="C7" s="20" t="str">
        <x:v>轻负荷箱、标识、安全垫</x:v>
      </x:c>
      <x:c r="D7" s="20" t="n">
        <x:v>1</x:v>
      </x:c>
      <x:c r="E7" s="20" t="n">
        <x:v>0</x:v>
      </x:c>
      <x:c r="F7" s="42" t="n">
        <x:v>1200</x:v>
      </x:c>
      <x:c r="G7" s="42" t="n">
        <x:f>D7*F7+E7*F7</x:f>
        <x:v>1200</x:v>
      </x:c>
      <x:c r="H7" s="20" t="str">
        <x:v>待采购</x:v>
      </x:c>
      <x:c r="I7" s="20" t="str">
        <x:v>安全</x:v>
      </x:c>
      <x:c r="J7" s="21" t="str"/>
    </x:row>
    <x:row r="8">
      <x:c r="A8" s="19" t="str">
        <x:v>BOM-007</x:v>
      </x:c>
      <x:c r="B8" s="20" t="str">
        <x:v>运输箱</x:v>
      </x:c>
      <x:c r="C8" s="20" t="str">
        <x:v>防震箱、线缆标签、备件盒</x:v>
      </x:c>
      <x:c r="D8" s="20" t="n">
        <x:v>1</x:v>
      </x:c>
      <x:c r="E8" s="20" t="n">
        <x:v>0</x:v>
      </x:c>
      <x:c r="F8" s="42" t="n">
        <x:v>1800</x:v>
      </x:c>
      <x:c r="G8" s="42" t="n">
        <x:f>D8*F8+E8*F8</x:f>
        <x:v>1800</x:v>
      </x:c>
      <x:c r="H8" s="20" t="str">
        <x:v>待采购</x:v>
      </x:c>
      <x:c r="I8" s="20" t="str">
        <x:v>交付</x:v>
      </x:c>
      <x:c r="J8" s="21" t="str"/>
    </x:row>
    <x:row r="9">
      <x:c r="A9" s="19" t="str">
        <x:v>BOM-008</x:v>
      </x:c>
      <x:c r="B9" s="20" t="str">
        <x:v>备份介质</x:v>
      </x:c>
      <x:c r="C9" s="20" t="str">
        <x:v>加密SSD/离线安装包</x:v>
      </x:c>
      <x:c r="D9" s="20" t="n">
        <x:v>2</x:v>
      </x:c>
      <x:c r="E9" s="20" t="n">
        <x:v>0</x:v>
      </x:c>
      <x:c r="F9" s="42" t="n">
        <x:v>900</x:v>
      </x:c>
      <x:c r="G9" s="42" t="n">
        <x:f>D9*F9+E9*F9</x:f>
        <x:v>1800</x:v>
      </x:c>
      <x:c r="H9" s="20" t="str">
        <x:v>待采购</x:v>
      </x:c>
      <x:c r="I9" s="20" t="str">
        <x:v>技术</x:v>
      </x:c>
      <x:c r="J9" s="21" t="str"/>
    </x:row>
    <x:row r="10">
      <x:c r="A10" s="22" t="str"/>
      <x:c r="B10" s="23" t="str"/>
      <x:c r="C10" s="23" t="str"/>
      <x:c r="D10" s="23" t="str"/>
      <x:c r="E10" s="23" t="str"/>
      <x:c r="F10" s="43" t="str">
        <x:v>预算合计</x:v>
      </x:c>
      <x:c r="G10" s="43" t="n">
        <x:f>SUM(G2:G9)</x:f>
        <x:v>72900</x:v>
      </x:c>
      <x:c r="H10" s="23" t="str"/>
      <x:c r="I10" s="23" t="str"/>
      <x:c r="J10" s="24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9" t="str">
        <x:v>EWOH 具身智能人员作业中枢｜项目执行总控台</x:v>
      </x:c>
      <x:c r="B1" s="49"/>
      <x:c r="C1" s="49"/>
      <x:c r="D1" s="49"/>
      <x:c r="E1" s="49"/>
      <x:c r="F1" s="49"/>
      <x:c r="G1" s="49"/>
      <x:c r="H1" s="49"/>
    </x:row>
    <x:row r="2">
      <x:c r="A2" s="49"/>
      <x:c r="B2" s="49"/>
      <x:c r="C2" s="49"/>
      <x:c r="D2" s="49"/>
      <x:c r="E2" s="49"/>
      <x:c r="F2" s="49"/>
      <x:c r="G2" s="49"/>
      <x:c r="H2" s="49"/>
    </x:row>
    <x:row r="4">
      <x:c r="A4" s="57" t="str">
        <x:v>WBS完成率</x:v>
      </x:c>
      <x:c r="B4" s="57"/>
      <x:c r="C4" s="57" t="str">
        <x:v>P0需求原型完成</x:v>
      </x:c>
      <x:c r="D4" s="57"/>
      <x:c r="E4" s="57" t="str">
        <x:v>红色风险</x:v>
      </x:c>
      <x:c r="F4" s="57"/>
      <x:c r="G4" s="57" t="str">
        <x:v>门禁阻塞</x:v>
      </x:c>
      <x:c r="H4" s="57"/>
    </x:row>
    <x:row r="5">
      <x:c r="A5" s="72" t="n">
        <x:f>SUM(WBS!O2:O17)/16</x:f>
        <x:v>0</x:v>
      </x:c>
      <x:c r="B5" s="72"/>
      <x:c r="C5" s="72" t="n">
        <x:f>SUM('需求追踪'!L2:L13)/10</x:f>
        <x:v>0.9</x:v>
      </x:c>
      <x:c r="D5" s="72"/>
      <x:c r="E5" s="73" t="n">
        <x:f>SUM('风险台账'!K2:K8)</x:f>
        <x:v>4</x:v>
      </x:c>
      <x:c r="F5" s="73"/>
      <x:c r="G5" s="73" t="n">
        <x:f>SUM('门禁'!H2:H6)</x:f>
        <x:v>2</x:v>
      </x:c>
      <x:c r="H5" s="73"/>
    </x:row>
    <x:row r="6">
      <x:c r="A6" s="72"/>
      <x:c r="B6" s="72"/>
      <x:c r="C6" s="72"/>
      <x:c r="D6" s="72"/>
      <x:c r="E6" s="73"/>
      <x:c r="F6" s="73"/>
      <x:c r="G6" s="73"/>
      <x:c r="H6" s="73"/>
    </x:row>
    <x:row r="8">
      <x:c r="A8" s="5" t="str">
        <x:v>门禁状态</x:v>
      </x:c>
      <x:c r="B8" s="5"/>
      <x:c r="C8" s="5"/>
      <x:c r="D8" s="5"/>
      <x:c r="F8" s="5" t="str">
        <x:v>当前关键依赖</x:v>
      </x:c>
      <x:c r="G8" s="5"/>
      <x:c r="H8" s="5"/>
    </x:row>
    <x:row r="9">
      <x:c r="A9" s="84" t="str">
        <x:v>门禁</x:v>
      </x:c>
      <x:c r="B9" s="84" t="str">
        <x:v>状态</x:v>
      </x:c>
      <x:c r="C9" s="84" t="str">
        <x:v>计划</x:v>
      </x:c>
      <x:c r="D9" s="84" t="str">
        <x:v>说明</x:v>
      </x:c>
      <x:c r="F9" s="84" t="str">
        <x:v>依赖</x:v>
      </x:c>
      <x:c r="G9" s="84" t="str">
        <x:v>状态</x:v>
      </x:c>
      <x:c r="H9" s="84" t="str">
        <x:v>下一步</x:v>
      </x:c>
    </x:row>
    <x:row r="10">
      <x:c r="A10" s="11" t="str">
        <x:v>G1</x:v>
      </x:c>
      <x:c r="B10" s="11" t="str">
        <x:v>材料已完成</x:v>
      </x:c>
      <x:c r="C10" s="11" t="str">
        <x:v>W2</x:v>
      </x:c>
      <x:c r="D10" s="11" t="str">
        <x:v>开发基线、技术规范、数据字典、验收齐备</x:v>
      </x:c>
      <x:c r="F10" s="11" t="str">
        <x:v>真实设备协议</x:v>
      </x:c>
      <x:c r="G10" s="11" t="str">
        <x:v>阻塞</x:v>
      </x:c>
      <x:c r="H10" s="11" t="str">
        <x:v>获得帧格式、字段、故障码和设备</x:v>
      </x:c>
    </x:row>
    <x:row r="11">
      <x:c r="A11" s="11" t="str">
        <x:v>G2</x:v>
      </x:c>
      <x:c r="B11" s="11" t="str">
        <x:v>阻塞</x:v>
      </x:c>
      <x:c r="C11" s="11" t="str">
        <x:v>W3</x:v>
      </x:c>
      <x:c r="D11" s="11" t="str">
        <x:v>需要真实设备协议和设备</x:v>
      </x:c>
      <x:c r="F11" s="11" t="str">
        <x:v>真实动作数据</x:v>
      </x:c>
      <x:c r="G11" s="11" t="str">
        <x:v>阻塞</x:v>
      </x:c>
      <x:c r="H11" s="11" t="str">
        <x:v>按采集方案完成受控数据</x:v>
      </x:c>
    </x:row>
    <x:row r="12">
      <x:c r="A12" s="11" t="str">
        <x:v>G3</x:v>
      </x:c>
      <x:c r="B12" s="11" t="str">
        <x:v>阻塞</x:v>
      </x:c>
      <x:c r="C12" s="11" t="str">
        <x:v>W6</x:v>
      </x:c>
      <x:c r="D12" s="11" t="str">
        <x:v>需要真实受控数据和评测</x:v>
      </x:c>
      <x:c r="F12" s="11" t="str">
        <x:v>捷顺接口文档</x:v>
      </x:c>
      <x:c r="G12" s="11" t="str">
        <x:v>待外部</x:v>
      </x:c>
      <x:c r="H12" s="11" t="str">
        <x:v>演示后启动接口比对</x:v>
      </x:c>
    </x:row>
    <x:row r="13">
      <x:c r="A13" s="11" t="str">
        <x:v>G4</x:v>
      </x:c>
      <x:c r="B13" s="11" t="str">
        <x:v>模拟原型完成</x:v>
      </x:c>
      <x:c r="C13" s="11" t="str">
        <x:v>W9</x:v>
      </x:c>
      <x:c r="D13" s="11" t="str">
        <x:v>本地六步演示原型已交付</x:v>
      </x:c>
      <x:c r="F13" s="11" t="str">
        <x:v>客户场景基线</x:v>
      </x:c>
      <x:c r="G13" s="11" t="str">
        <x:v>待外部</x:v>
      </x:c>
      <x:c r="H13" s="11" t="str">
        <x:v>用场景评估器筛选3—5个客户</x:v>
      </x:c>
    </x:row>
    <x:row r="14">
      <x:c r="A14" s="11" t="str">
        <x:v>G5</x:v>
      </x:c>
      <x:c r="B14" s="11" t="str">
        <x:v>材料完成</x:v>
      </x:c>
      <x:c r="C14" s="11" t="str">
        <x:v>W12</x:v>
      </x:c>
      <x:c r="D14" s="11" t="str">
        <x:v>彩排和真实设备切换后评审</x:v>
      </x:c>
      <x:c r="F14" s="11" t="str">
        <x:v>安全可靠性测试</x:v>
      </x:c>
      <x:c r="G14" s="11" t="str">
        <x:v>待执行</x:v>
      </x:c>
      <x:c r="H14" s="11" t="str">
        <x:v>连续运行、急停、误助力、环境测试</x:v>
      </x:c>
    </x:row>
    <x:row r="16">
      <x:c r="A16" s="88" t="str">
        <x:v>使用纪律：模拟原型仅证明工程闭环；不得描述为真实设备或客户实测。平台与大模型不得直接控制关节、限扭、限速、急停和异常退出。</x:v>
      </x:c>
      <x:c r="B16" s="88"/>
      <x:c r="C16" s="88"/>
      <x:c r="D16" s="88"/>
      <x:c r="E16" s="88"/>
      <x:c r="F16" s="88"/>
      <x:c r="G16" s="88"/>
      <x:c r="H16" s="88"/>
    </x:row>
  </x:sheetData>
  <x:mergeCells>
    <x:mergeCell ref="A1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D8"/>
    <x:mergeCell ref="F8:H8"/>
    <x:mergeCell ref="A16:H16"/>
  </x:mergeCells>
  <x:pageMargins left="0.7" right="0.7" top="0.75" bottom="0.75" header="0.3" footer="0.3"/>
  <x:drawing xmlns:r="http://schemas.openxmlformats.org/officeDocument/2006/relationships" r:id="R731a1fbfa3c14085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5" t="str">
        <x:v>周次</x:v>
      </x:c>
      <x:c r="B1" s="5" t="str">
        <x:v>计划完成度</x:v>
      </x:c>
    </x:row>
    <x:row r="2">
      <x:c r="A2" t="str">
        <x:v>W1</x:v>
      </x:c>
      <x:c r="B2" s="62" t="n">
        <x:v>0.08</x:v>
      </x:c>
    </x:row>
    <x:row r="3">
      <x:c r="A3" t="str">
        <x:v>W2</x:v>
      </x:c>
      <x:c r="B3" s="62" t="n">
        <x:v>0.17</x:v>
      </x:c>
    </x:row>
    <x:row r="4">
      <x:c r="A4" t="str">
        <x:v>W3</x:v>
      </x:c>
      <x:c r="B4" s="62" t="n">
        <x:v>0.25</x:v>
      </x:c>
    </x:row>
    <x:row r="5">
      <x:c r="A5" t="str">
        <x:v>W4</x:v>
      </x:c>
      <x:c r="B5" s="62" t="n">
        <x:v>0.33</x:v>
      </x:c>
    </x:row>
    <x:row r="6">
      <x:c r="A6" t="str">
        <x:v>W5</x:v>
      </x:c>
      <x:c r="B6" s="62" t="n">
        <x:v>0.42</x:v>
      </x:c>
    </x:row>
    <x:row r="7">
      <x:c r="A7" t="str">
        <x:v>W6</x:v>
      </x:c>
      <x:c r="B7" s="62" t="n">
        <x:v>0.5</x:v>
      </x:c>
    </x:row>
    <x:row r="8">
      <x:c r="A8" t="str">
        <x:v>W7</x:v>
      </x:c>
      <x:c r="B8" s="62" t="n">
        <x:v>0.58</x:v>
      </x:c>
    </x:row>
    <x:row r="9">
      <x:c r="A9" t="str">
        <x:v>W8</x:v>
      </x:c>
      <x:c r="B9" s="62" t="n">
        <x:v>0.67</x:v>
      </x:c>
    </x:row>
    <x:row r="10">
      <x:c r="A10" t="str">
        <x:v>W9</x:v>
      </x:c>
      <x:c r="B10" s="62" t="n">
        <x:v>0.75</x:v>
      </x:c>
    </x:row>
    <x:row r="11">
      <x:c r="A11" t="str">
        <x:v>W10</x:v>
      </x:c>
      <x:c r="B11" s="62" t="n">
        <x:v>0.83</x:v>
      </x:c>
    </x:row>
    <x:row r="12">
      <x:c r="A12" t="str">
        <x:v>W11</x:v>
      </x:c>
      <x:c r="B12" s="62" t="n">
        <x:v>0.92</x:v>
      </x:c>
    </x:row>
    <x:row r="13">
      <x:c r="A13" t="str">
        <x:v>W12</x:v>
      </x:c>
      <x:c r="B13" s="62" t="n">
        <x:v>1</x:v>
      </x:c>
    </x:row>
  </x:sheetData>
  <x:pageMargins left="0.7" right="0.7" top="0.75" bottom="0.75" header="0.3" footer="0.3"/>
</x:worksheet>
</file>